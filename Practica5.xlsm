
<file path=[Content_Types].xml><?xml version="1.0" encoding="utf-8"?>
<Types xmlns="http://schemas.openxmlformats.org/package/2006/content-types">
  <Default Extension="png" ContentType="image/png"/>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workbookPr defaultThemeVersion="164011"/>
  <mc:AlternateContent xmlns:mc="http://schemas.openxmlformats.org/markup-compatibility/2006">
    <mc:Choice Requires="x15">
      <x15ac:absPath xmlns:x15ac="http://schemas.microsoft.com/office/spreadsheetml/2010/11/ac" url="C:\Users\Admin\Documents\Financieras\"/>
    </mc:Choice>
  </mc:AlternateContent>
  <bookViews>
    <workbookView xWindow="0" yWindow="0" windowWidth="20490" windowHeight="7350"/>
  </bookViews>
  <sheets>
    <sheet name="Portada" sheetId="3" r:id="rId1"/>
    <sheet name="Fundamentacion" sheetId="6" r:id="rId2"/>
    <sheet name="Datos" sheetId="2" r:id="rId3"/>
    <sheet name="Estado de resultados" sheetId="1" r:id="rId4"/>
    <sheet name="FNE" sheetId="4" r:id="rId5"/>
    <sheet name="Balance General" sheetId="5" r:id="rId6"/>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31" i="5" l="1"/>
  <c r="P16" i="5"/>
  <c r="M13" i="4"/>
  <c r="V27" i="4"/>
  <c r="V28" i="4" s="1"/>
  <c r="U15" i="1"/>
  <c r="M12" i="4" s="1"/>
  <c r="U14" i="1"/>
  <c r="U11" i="1"/>
  <c r="M11" i="4" s="1"/>
  <c r="U10" i="1"/>
  <c r="U8" i="1"/>
  <c r="U9" i="1" s="1"/>
  <c r="M10" i="4" s="1"/>
  <c r="N31" i="5"/>
  <c r="N16" i="5"/>
  <c r="K11" i="4"/>
  <c r="R15" i="1"/>
  <c r="K12" i="4" s="1"/>
  <c r="R14" i="1"/>
  <c r="K13" i="4" s="1"/>
  <c r="R11" i="1"/>
  <c r="L31" i="5"/>
  <c r="L16" i="5"/>
  <c r="I12" i="4"/>
  <c r="R8" i="1"/>
  <c r="O15" i="1"/>
  <c r="O14" i="1"/>
  <c r="I13" i="4" s="1"/>
  <c r="O11" i="1"/>
  <c r="I11" i="4" s="1"/>
  <c r="O8" i="1"/>
  <c r="J31" i="5"/>
  <c r="J16" i="5"/>
  <c r="G16" i="4"/>
  <c r="G12" i="4"/>
  <c r="L15" i="1"/>
  <c r="L14" i="1"/>
  <c r="G13" i="4" s="1"/>
  <c r="L12" i="1"/>
  <c r="O12" i="1" s="1"/>
  <c r="L11" i="1"/>
  <c r="G11" i="4" s="1"/>
  <c r="L8" i="1"/>
  <c r="M22" i="2"/>
  <c r="K22" i="2"/>
  <c r="I22" i="2"/>
  <c r="G22" i="2"/>
  <c r="M21" i="2"/>
  <c r="K21" i="2"/>
  <c r="I21" i="2"/>
  <c r="G21" i="2"/>
  <c r="M20" i="2"/>
  <c r="K20" i="2"/>
  <c r="I20" i="2"/>
  <c r="G20" i="2"/>
  <c r="M19" i="2"/>
  <c r="K19" i="2"/>
  <c r="I19" i="2"/>
  <c r="M18" i="2"/>
  <c r="K18" i="2"/>
  <c r="I18" i="2"/>
  <c r="G19" i="2"/>
  <c r="G18" i="2"/>
  <c r="I12" i="1"/>
  <c r="H17" i="5" s="1"/>
  <c r="H16" i="5"/>
  <c r="I11" i="1"/>
  <c r="E22" i="2"/>
  <c r="J17" i="5" l="1"/>
  <c r="R10" i="1"/>
  <c r="S27" i="4"/>
  <c r="R9" i="1"/>
  <c r="K10" i="4" s="1"/>
  <c r="M5" i="4"/>
  <c r="M27" i="4"/>
  <c r="L10" i="1"/>
  <c r="J18" i="5"/>
  <c r="P27" i="4"/>
  <c r="O10" i="1"/>
  <c r="Y29" i="4"/>
  <c r="P12" i="5" s="1"/>
  <c r="O13" i="1" l="1"/>
  <c r="O16" i="1" s="1"/>
  <c r="O9" i="1"/>
  <c r="I10" i="4" s="1"/>
  <c r="P29" i="4"/>
  <c r="M28" i="4"/>
  <c r="S29" i="4"/>
  <c r="P28" i="4"/>
  <c r="L13" i="1"/>
  <c r="L16" i="1" s="1"/>
  <c r="L9" i="1"/>
  <c r="G10" i="4" s="1"/>
  <c r="S28" i="4"/>
  <c r="V29" i="4"/>
  <c r="K5" i="4" l="1"/>
  <c r="S30" i="4"/>
  <c r="P30" i="4"/>
  <c r="I5" i="4"/>
  <c r="G5" i="4"/>
  <c r="M6" i="4"/>
  <c r="N12" i="5"/>
  <c r="V30" i="4"/>
  <c r="K6" i="4"/>
  <c r="L12" i="5"/>
  <c r="I6" i="4"/>
  <c r="J12" i="5"/>
  <c r="H31" i="5" l="1"/>
  <c r="H18" i="5"/>
  <c r="E11" i="4"/>
  <c r="C5" i="4" l="1"/>
  <c r="C6" i="4"/>
  <c r="F12" i="5" l="1"/>
  <c r="F31" i="5"/>
  <c r="F16" i="5"/>
  <c r="G28" i="4"/>
  <c r="G27" i="4"/>
  <c r="J29" i="4" s="1"/>
  <c r="E6" i="4" s="1"/>
  <c r="D27" i="4"/>
  <c r="D28" i="4" s="1"/>
  <c r="C7" i="4"/>
  <c r="C20" i="4" s="1"/>
  <c r="C16" i="4"/>
  <c r="C15" i="4"/>
  <c r="C4" i="4"/>
  <c r="I15" i="1"/>
  <c r="E12" i="4" s="1"/>
  <c r="I14" i="1"/>
  <c r="E13" i="4" s="1"/>
  <c r="G29" i="4" l="1"/>
  <c r="G30" i="4" s="1"/>
  <c r="E21" i="2" l="1"/>
  <c r="E20" i="2"/>
  <c r="F12" i="1"/>
  <c r="I8" i="1"/>
  <c r="J27" i="4" s="1"/>
  <c r="E19" i="2"/>
  <c r="E18" i="2"/>
  <c r="I10" i="1"/>
  <c r="I9" i="1" s="1"/>
  <c r="E10" i="4" s="1"/>
  <c r="U12" i="1" l="1"/>
  <c r="U13" i="1" s="1"/>
  <c r="U16" i="1" s="1"/>
  <c r="R12" i="1"/>
  <c r="R13" i="1" s="1"/>
  <c r="R16" i="1" s="1"/>
  <c r="F17" i="5"/>
  <c r="M29" i="4"/>
  <c r="J28" i="4"/>
  <c r="I13" i="1"/>
  <c r="I16" i="1" s="1"/>
  <c r="F17" i="1"/>
  <c r="C14" i="4" s="1"/>
  <c r="F15" i="1"/>
  <c r="C12" i="4" s="1"/>
  <c r="F14" i="1"/>
  <c r="C13" i="4" s="1"/>
  <c r="F11" i="1"/>
  <c r="C11" i="4" s="1"/>
  <c r="F10" i="1"/>
  <c r="F13" i="1" s="1"/>
  <c r="F16" i="1" s="1"/>
  <c r="F18" i="1" s="1"/>
  <c r="F20" i="1" s="1"/>
  <c r="F32" i="5" s="1"/>
  <c r="F33" i="5" s="1"/>
  <c r="F8" i="1"/>
  <c r="E5" i="2"/>
  <c r="G6" i="4" l="1"/>
  <c r="H12" i="5"/>
  <c r="M30" i="4"/>
  <c r="E5" i="4"/>
  <c r="J30" i="4"/>
  <c r="N17" i="5"/>
  <c r="N18" i="5" s="1"/>
  <c r="P17" i="5"/>
  <c r="P18" i="5" s="1"/>
  <c r="L17" i="5"/>
  <c r="L18" i="5" s="1"/>
  <c r="F18" i="5"/>
  <c r="F9" i="1"/>
  <c r="C10" i="4" s="1"/>
  <c r="C17" i="4" s="1"/>
  <c r="C21" i="4" s="1"/>
  <c r="C22" i="4" s="1"/>
  <c r="I17" i="1" l="1"/>
  <c r="F25" i="5"/>
  <c r="F26" i="5" s="1"/>
  <c r="F28" i="5" s="1"/>
  <c r="F35" i="5" s="1"/>
  <c r="F11" i="5"/>
  <c r="F13" i="5" l="1"/>
  <c r="F20" i="5" s="1"/>
  <c r="E4" i="4"/>
  <c r="E7" i="4" s="1"/>
  <c r="E20" i="4" s="1"/>
  <c r="E14" i="4"/>
  <c r="E17" i="4" s="1"/>
  <c r="E21" i="4" s="1"/>
  <c r="I18" i="1"/>
  <c r="I20" i="1" s="1"/>
  <c r="H32" i="5" s="1"/>
  <c r="H33" i="5" s="1"/>
  <c r="E22" i="4" l="1"/>
  <c r="L17" i="1" l="1"/>
  <c r="H11" i="5"/>
  <c r="H25" i="5"/>
  <c r="H26" i="5" s="1"/>
  <c r="H28" i="5" s="1"/>
  <c r="H35" i="5" s="1"/>
  <c r="G4" i="4" l="1"/>
  <c r="G7" i="4" s="1"/>
  <c r="G20" i="4" s="1"/>
  <c r="H13" i="5"/>
  <c r="H20" i="5" s="1"/>
  <c r="G14" i="4"/>
  <c r="L18" i="1"/>
  <c r="L20" i="1" l="1"/>
  <c r="J32" i="5" s="1"/>
  <c r="J33" i="5" s="1"/>
  <c r="L19" i="1"/>
  <c r="G15" i="4" s="1"/>
  <c r="G17" i="4" s="1"/>
  <c r="G21" i="4" s="1"/>
  <c r="G22" i="4" s="1"/>
  <c r="O17" i="1" l="1"/>
  <c r="J25" i="5"/>
  <c r="J26" i="5" s="1"/>
  <c r="J28" i="5" s="1"/>
  <c r="J11" i="5"/>
  <c r="J35" i="5"/>
  <c r="I4" i="4" l="1"/>
  <c r="I7" i="4" s="1"/>
  <c r="I20" i="4" s="1"/>
  <c r="J13" i="5"/>
  <c r="J20" i="5" s="1"/>
  <c r="I14" i="4"/>
  <c r="O18" i="1"/>
  <c r="O19" i="1" l="1"/>
  <c r="I15" i="4" s="1"/>
  <c r="I17" i="4" s="1"/>
  <c r="I21" i="4" s="1"/>
  <c r="O20" i="1"/>
  <c r="L32" i="5" s="1"/>
  <c r="L33" i="5" s="1"/>
  <c r="I22" i="4"/>
  <c r="L25" i="5" l="1"/>
  <c r="L26" i="5" s="1"/>
  <c r="L28" i="5" s="1"/>
  <c r="L35" i="5" s="1"/>
  <c r="R17" i="1"/>
  <c r="L11" i="5"/>
  <c r="K14" i="4" l="1"/>
  <c r="R18" i="1"/>
  <c r="K4" i="4"/>
  <c r="K7" i="4" s="1"/>
  <c r="K20" i="4" s="1"/>
  <c r="L13" i="5"/>
  <c r="L20" i="5" s="1"/>
  <c r="R19" i="1" l="1"/>
  <c r="K15" i="4" s="1"/>
  <c r="R20" i="1"/>
  <c r="N32" i="5" s="1"/>
  <c r="K17" i="4"/>
  <c r="K21" i="4" s="1"/>
  <c r="K22" i="4" s="1"/>
  <c r="N25" i="5" l="1"/>
  <c r="N26" i="5" s="1"/>
  <c r="N28" i="5" s="1"/>
  <c r="N11" i="5"/>
  <c r="U17" i="1"/>
  <c r="N33" i="5"/>
  <c r="N35" i="5" s="1"/>
  <c r="M4" i="4" l="1"/>
  <c r="M7" i="4" s="1"/>
  <c r="M20" i="4" s="1"/>
  <c r="N13" i="5"/>
  <c r="N20" i="5" s="1"/>
  <c r="M14" i="4"/>
  <c r="U18" i="1"/>
  <c r="U19" i="1" l="1"/>
  <c r="M15" i="4" s="1"/>
  <c r="U20" i="1"/>
  <c r="P32" i="5" s="1"/>
  <c r="P33" i="5" s="1"/>
  <c r="P35" i="5" s="1"/>
  <c r="M17" i="4"/>
  <c r="M21" i="4" s="1"/>
  <c r="M22" i="4"/>
  <c r="P25" i="5" l="1"/>
  <c r="P26" i="5" s="1"/>
  <c r="P28" i="5" s="1"/>
  <c r="P11" i="5"/>
  <c r="P13" i="5" s="1"/>
  <c r="P20" i="5" s="1"/>
</calcChain>
</file>

<file path=xl/sharedStrings.xml><?xml version="1.0" encoding="utf-8"?>
<sst xmlns="http://schemas.openxmlformats.org/spreadsheetml/2006/main" count="168" uniqueCount="104">
  <si>
    <t>Estado de resultados.</t>
  </si>
  <si>
    <t>Estado de resultados</t>
  </si>
  <si>
    <t>M.N /00</t>
  </si>
  <si>
    <t>Ventas</t>
  </si>
  <si>
    <t>-</t>
  </si>
  <si>
    <t>Datos.</t>
  </si>
  <si>
    <t>Capital Social</t>
  </si>
  <si>
    <t>Ventas mes Anterior</t>
  </si>
  <si>
    <t>Unidades</t>
  </si>
  <si>
    <t>Precio</t>
  </si>
  <si>
    <t>Costo de produccion unitario</t>
  </si>
  <si>
    <t>Gastos por ventas unitario</t>
  </si>
  <si>
    <t>=</t>
  </si>
  <si>
    <t>Gasto administrativo unitario</t>
  </si>
  <si>
    <t>Infraestructura (Activos)</t>
  </si>
  <si>
    <t>Valor de rescate</t>
  </si>
  <si>
    <t>Tiempo de vida</t>
  </si>
  <si>
    <t>Efectivo inicial</t>
  </si>
  <si>
    <t>Préstamo inicial</t>
  </si>
  <si>
    <t>IVA</t>
  </si>
  <si>
    <t>Venta neta</t>
  </si>
  <si>
    <t>Costos de producción</t>
  </si>
  <si>
    <t>Depreciación</t>
  </si>
  <si>
    <t>Utilidad De Bruta</t>
  </si>
  <si>
    <t>Gastos de Administración</t>
  </si>
  <si>
    <t>Gastos de Venta</t>
  </si>
  <si>
    <t>Utilidad De Operación</t>
  </si>
  <si>
    <t>Gastos Financieros</t>
  </si>
  <si>
    <t>Utilidad Antes del Impuesto</t>
  </si>
  <si>
    <t>Impuestos</t>
  </si>
  <si>
    <t>Utilidad</t>
  </si>
  <si>
    <t xml:space="preserve"> Instituo Politécnico Nacional.</t>
  </si>
  <si>
    <t>Escuela Superior de Cómputo.</t>
  </si>
  <si>
    <t>Materia: Administración Financiera.</t>
  </si>
  <si>
    <t>Docente: Eduardo Rodríguez Flores.</t>
  </si>
  <si>
    <t>Alumno: Mario Alberto Miranda Sandoval.</t>
  </si>
  <si>
    <t>Grupo: 2CM10</t>
  </si>
  <si>
    <t>Tema: Chocolates Osito (Práctica 5).</t>
  </si>
  <si>
    <t>"Chocolates Osito S.A. de C.V."</t>
  </si>
  <si>
    <t>Aumento al precio</t>
  </si>
  <si>
    <t>1er mes</t>
  </si>
  <si>
    <t>Aumento a las unidades</t>
  </si>
  <si>
    <t>Aumento Gasto Admin.</t>
  </si>
  <si>
    <t>Aumento Gasto de Venta</t>
  </si>
  <si>
    <t>Flujo Neto de Efectivo</t>
  </si>
  <si>
    <t>Ingresos</t>
  </si>
  <si>
    <t>2do mes</t>
  </si>
  <si>
    <t>3er mes</t>
  </si>
  <si>
    <t>Saldo Inicial</t>
  </si>
  <si>
    <t>Venta Contado</t>
  </si>
  <si>
    <t>Venta Credito</t>
  </si>
  <si>
    <t>Total</t>
  </si>
  <si>
    <t>Egresos</t>
  </si>
  <si>
    <t>Costos de Produccion</t>
  </si>
  <si>
    <t>Gastos Venta</t>
  </si>
  <si>
    <t>Gastos Admin</t>
  </si>
  <si>
    <t>Interesés</t>
  </si>
  <si>
    <t>Impuesto</t>
  </si>
  <si>
    <t>Préstamo</t>
  </si>
  <si>
    <t>Flujo Neto Efectivo</t>
  </si>
  <si>
    <t>Ingreso</t>
  </si>
  <si>
    <t>Egreso</t>
  </si>
  <si>
    <t>FNE</t>
  </si>
  <si>
    <t>Contado 40%</t>
  </si>
  <si>
    <t>Crédito 60%</t>
  </si>
  <si>
    <t>Mes Anterior</t>
  </si>
  <si>
    <t>1er Mes</t>
  </si>
  <si>
    <t>Balance General</t>
  </si>
  <si>
    <t>"Chocolate Osito"</t>
  </si>
  <si>
    <t>6 meses</t>
  </si>
  <si>
    <t>M.N. /00</t>
  </si>
  <si>
    <t>Activos</t>
  </si>
  <si>
    <t>4to mes</t>
  </si>
  <si>
    <t>5to mes</t>
  </si>
  <si>
    <t>6to mes</t>
  </si>
  <si>
    <t>Activos Circulantes</t>
  </si>
  <si>
    <t>Banco</t>
  </si>
  <si>
    <t>Clientes</t>
  </si>
  <si>
    <t>Total de Activos Circulantes</t>
  </si>
  <si>
    <t>Activos No Circulantes</t>
  </si>
  <si>
    <t>Infraestructura</t>
  </si>
  <si>
    <t>Depreciación Acumulada</t>
  </si>
  <si>
    <t>Total de Activos No Circulantes</t>
  </si>
  <si>
    <t>Total de Activos</t>
  </si>
  <si>
    <t>Pasivos</t>
  </si>
  <si>
    <t>Pasivos Corto Plazo</t>
  </si>
  <si>
    <t>Total Pasivos A Corto Plazo</t>
  </si>
  <si>
    <t>Total de Pasivos</t>
  </si>
  <si>
    <t>Capital Contable</t>
  </si>
  <si>
    <t>Utilidad del ejercicio</t>
  </si>
  <si>
    <t>Total Capital Contable</t>
  </si>
  <si>
    <t>Total Pasivos+Capital</t>
  </si>
  <si>
    <t>2do Mes</t>
  </si>
  <si>
    <t>Aumento Costo de Producción</t>
  </si>
  <si>
    <t>3er Mes</t>
  </si>
  <si>
    <t>Nivel de Utilidades</t>
  </si>
  <si>
    <t>Tasa de impuestos</t>
  </si>
  <si>
    <t>Extra</t>
  </si>
  <si>
    <t>Fundamentación.</t>
  </si>
  <si>
    <t>Estado de Resultados.</t>
  </si>
  <si>
    <t xml:space="preserve">El estado de resultados, también conocido como estado de ganancias y pérdidas es un reporte financiero que en base a un periodo determinado muestra de manera detallada los ingresos obtenidos, los gastos en el momento en que se producen y como consecuencia, el beneficio o pérdida que ha generado la empresa en dicho periodo de tiempo para analizar esta información y en base a esto, tomar decisiones de negocio.
Este estado financiero te brinda una visión panorámica de cuál ha sido el comportamiento de la empresa, si ha generado utilidades o no. En términos sencillos este reporte es muy útil para ti como empresario ya que te ayuda a saber si tu compañía está vendiendo, qué cantidad está vendiendo, cómo se están administrando los gastos y al saber esto, podrás saber con certeza si estás generando utilidades.  La estructura de un estado de resultados se agrupa de la siguiente manera: ingresos, costos y gastos. En base a estos tres rubros principales se estructura el reporte.
Las principales cuentas del estado de resultados son las siguientes:
Ventas: Este dato es el primero que aparece en el estado de resultados, debe corresponder a los ingresos por ventas en el periodo determinado.
Costo de ventas: Este concepto se refiere a la cantidad que le costó a la empresa el artículo que está vendiendo.
Utilidad o margen bruto: Es la diferencia entre las ventas y el costo de ventas. Es un indicador de cuánto se gana en términos brutos con el producto es decir, si no existiera ningún otro gasto, la comparativa del precio de venta contra lo que cuesta producirlo o adquirirlo según sea el caso. 
Gastos de operación: En este rubro se incluyen todos aquellos gastos que están directamente involucrados con el funcionamiento de la empresa. Algunos ejemplos son: los servicios como luz, agua, renta, salarios, etc. 
Utilidad sobre flujo (EBITDA): Es un indicador financiero que mide las ganancias o utilidad que obtiene una empresa sin tomar en cuenta los gastos financieros, impuestos y otros gastos contables que no implican una salida de dinero real de la empresa como son las amortizaciones y depreciaciones. 
Depreciaciones y amortizaciones: Son importes que de manera anual se aplican para disminuir el valor contable a los bienes tangibles que la empresa utiliza para llevar a cabo sus operaciones (activos fijos), por ejemplo el equipo de transporte de una empresa.
Utilidad de operación: Se refiere a la diferencia que se obtiene al restar las depreciaciones y amortizaciones al EBITDA, indica la ganancia o pérdida de la empresa en función de sus actividades productivas. 
Gastos y productos financieros: Son los gastos e ingresos que la compañía tiene pero que no están relacionados de manera directa con la operación de la misma, por lo general se refiere montos relacionados con bancos como el pago de intereses. 
Utilidad antes de impuestos: Este concepto se refiere a la ganancia o pérdida de la empresa después de cubrir sus compromisos operacionales y financieros. 
Impuestos: Contribuciones sobre las utilidades que la empresa paga al gobierno.
Utilidad neta: Es la ganancia o pérdida final que la empresa obtiene resultante de sus operaciones después de los gastos operativos, gastos financieros e impuestos. 
</t>
  </si>
  <si>
    <t>Flujo Neto De Efectivo</t>
  </si>
  <si>
    <t>El flujo neto de efectivo es un término de contabilidad que describe los movimientos de efectivo (ingresos y gastos) en un periodo determinado. Tener un flujo de neto efectivo amplio nos da muchísima libertad y tranquilidad, sobre todo ante lo cambiante que es el mundo. Nos da mucho margen de maniobra.
Pensemos por ejemplo en una pérdida de empleo. La pareja que mencioné anteriormente se las vería “negras” ya que aún cuando su flujo neto de efectivo era positivo, sus compromisos son amplios y una pérdida súbita de ingresos los podría poner en una posición muy apretada. Aún si reciben indemnización legal.
En cambio si esa misma pareja no tuviera deudas con tarjeta de crédito ni tampoco el préstamo automotriz, podrían manejar esa situación de una manera mucho más holgada.
En otras palabras, un flujo neto de efectivo positivo y constante nos da flexibilidad, nos permite adaptarnos de mejor manera a distintas circunstancias.
Por eso antes de pensar en comprar una nueva pantalla plana a 18 meses sin intereses piensa cómo ese compromiso – aún cuando es “sin intereses” – impacta tu flujo neto de efectivo. Piensa si ello te acerca o te aleja de tus metas financieras: de aquello que realmente quieres lograr en la vida.
No hay decisión correcta, porque cada persona tiene una situación diferente. Cualquiera que sea la tuya, será una decisión informada. De eso se tratan las finanzas personales.
Por ejemplo, si en un mes tus ingresos son de 20,000 pesos y gastas 18,000 pesos, tienes un flujo neto de efectivo positivo de 2,000 pesos. Es decir, estás gastando menos de lo que ganas pero también estás incrementando cada mes tu patrimonio.
Pero si tus gastos – siguiendo el mismo ejemplo – fueran de 23,000 pesos, significa que tienes un flujo neto de efectivo negativo de 3,000 pesos. En otras palabras, cada mes estás “quemando” tu patrimonio. Estás gastando más de lo que ganas y todos sabemos que a la larga eso no es sostenible.</t>
  </si>
  <si>
    <t>El balance general o estado de situación financiera es un reporte financiero que funge como una fotografía al reflejar la situación financiera de una empresa a una fecha determinada. Está conformado por las cuentas de activo (lo que la empresa posee), pasivo (deudas) y la diferencia entre estos que es el patrimonio o capital contable. Este reporte por lo general es realizado al finalizar el ejercicio de la empresa de manera anual (balance final), sin embargo para fines de información es importante que los realices con una periodicidad mensual, trimestral o semestral para un mejor seguimiento.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</si>
</sst>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44" formatCode="_-&quot;$&quot;* #,##0.00_-;\-&quot;$&quot;* #,##0.00_-;_-&quot;$&quot;* &quot;-&quot;??_-;_-@_-"/>
  </numFmts>
  <fonts count="10" x14ac:knownFonts="1">
    <font>
      <sz val="11"/>
      <color theme="1"/>
      <name val="Calibri"/>
      <family val="2"/>
      <scheme val="minor"/>
    </font>
    <font>
      <sz val="11"/>
      <color theme="1"/>
      <name val="Calibri"/>
      <family val="2"/>
      <scheme val="minor"/>
    </font>
    <font>
      <sz val="11"/>
      <color theme="1"/>
      <name val="Courier New"/>
      <family val="3"/>
    </font>
    <font>
      <b/>
      <sz val="14"/>
      <color theme="1"/>
      <name val="Courier New"/>
      <family val="3"/>
    </font>
    <font>
      <b/>
      <sz val="12"/>
      <color theme="4" tint="-0.499984740745262"/>
      <name val="Courier New"/>
      <family val="3"/>
    </font>
    <font>
      <sz val="10"/>
      <color theme="1"/>
      <name val="Courier New"/>
      <family val="3"/>
    </font>
    <font>
      <sz val="9"/>
      <color theme="1"/>
      <name val="Courier New"/>
      <family val="3"/>
    </font>
    <font>
      <b/>
      <sz val="11"/>
      <color theme="1"/>
      <name val="Courier New"/>
      <family val="3"/>
    </font>
    <font>
      <b/>
      <sz val="10"/>
      <color theme="1"/>
      <name val="Courier New"/>
      <family val="3"/>
    </font>
    <font>
      <b/>
      <sz val="12"/>
      <color theme="1"/>
      <name val="Courier New"/>
      <family val="3"/>
    </font>
  </fonts>
  <fills count="11">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3" tint="0.59999389629810485"/>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3" tint="0.79998168889431442"/>
        <bgColor indexed="64"/>
      </patternFill>
    </fill>
    <fill>
      <patternFill patternType="solid">
        <fgColor theme="2" tint="-9.9978637043366805E-2"/>
        <bgColor indexed="64"/>
      </patternFill>
    </fill>
    <fill>
      <patternFill patternType="solid">
        <fgColor theme="9" tint="0.59999389629810485"/>
        <bgColor indexed="64"/>
      </patternFill>
    </fill>
  </fills>
  <borders count="1">
    <border>
      <left/>
      <right/>
      <top/>
      <bottom/>
      <diagonal/>
    </border>
  </borders>
  <cellStyleXfs count="2">
    <xf numFmtId="0" fontId="0" fillId="0" borderId="0"/>
    <xf numFmtId="44" fontId="1" fillId="0" borderId="0" applyFont="0" applyFill="0" applyBorder="0" applyAlignment="0" applyProtection="0"/>
  </cellStyleXfs>
  <cellXfs count="76">
    <xf numFmtId="0" fontId="0" fillId="0" borderId="0" xfId="0"/>
    <xf numFmtId="0" fontId="2" fillId="0" borderId="0" xfId="0" applyFont="1"/>
    <xf numFmtId="0" fontId="2" fillId="0" borderId="0" xfId="0" applyFont="1" applyAlignment="1">
      <alignment horizontal="left"/>
    </xf>
    <xf numFmtId="0" fontId="0" fillId="2" borderId="0" xfId="0" applyFill="1"/>
    <xf numFmtId="0" fontId="2" fillId="2" borderId="0" xfId="0" applyFont="1" applyFill="1"/>
    <xf numFmtId="0" fontId="2" fillId="3" borderId="0" xfId="0" applyFont="1" applyFill="1"/>
    <xf numFmtId="0" fontId="2" fillId="0" borderId="0" xfId="0" applyFont="1" applyAlignment="1">
      <alignment horizontal="center"/>
    </xf>
    <xf numFmtId="0" fontId="2" fillId="0" borderId="0" xfId="0" applyFont="1" applyAlignment="1">
      <alignment horizontal="left"/>
    </xf>
    <xf numFmtId="0" fontId="4" fillId="2" borderId="0" xfId="0" applyFont="1" applyFill="1" applyAlignment="1">
      <alignment horizontal="center"/>
    </xf>
    <xf numFmtId="0" fontId="2" fillId="3" borderId="0" xfId="0" applyFont="1" applyFill="1" applyAlignment="1">
      <alignment horizontal="center"/>
    </xf>
    <xf numFmtId="0" fontId="2" fillId="4" borderId="0" xfId="0" applyFont="1" applyFill="1" applyAlignment="1">
      <alignment horizontal="center"/>
    </xf>
    <xf numFmtId="0" fontId="2" fillId="3" borderId="0" xfId="0" applyFont="1" applyFill="1" applyAlignment="1">
      <alignment horizontal="left"/>
    </xf>
    <xf numFmtId="44" fontId="2" fillId="3" borderId="0" xfId="0" applyNumberFormat="1" applyFont="1" applyFill="1" applyAlignment="1">
      <alignment horizontal="left"/>
    </xf>
    <xf numFmtId="0" fontId="2" fillId="0" borderId="0" xfId="0" applyFont="1" applyAlignment="1">
      <alignment horizontal="center"/>
    </xf>
    <xf numFmtId="0" fontId="2" fillId="4" borderId="0" xfId="0" applyFont="1" applyFill="1" applyAlignment="1">
      <alignment horizontal="left"/>
    </xf>
    <xf numFmtId="0" fontId="2" fillId="4" borderId="0" xfId="0" applyFont="1" applyFill="1" applyAlignment="1">
      <alignment horizontal="right"/>
    </xf>
    <xf numFmtId="44" fontId="2" fillId="3" borderId="0" xfId="1" applyFont="1" applyFill="1" applyAlignment="1">
      <alignment horizontal="left"/>
    </xf>
    <xf numFmtId="44" fontId="2" fillId="4" borderId="0" xfId="1" applyFont="1" applyFill="1" applyAlignment="1">
      <alignment horizontal="left" wrapText="1"/>
    </xf>
    <xf numFmtId="0" fontId="2" fillId="3" borderId="0" xfId="0" applyFont="1" applyFill="1" applyAlignment="1">
      <alignment horizontal="left" wrapText="1"/>
    </xf>
    <xf numFmtId="44" fontId="2" fillId="4" borderId="0" xfId="1" applyFont="1" applyFill="1" applyAlignment="1">
      <alignment horizontal="left"/>
    </xf>
    <xf numFmtId="0" fontId="3" fillId="3" borderId="0" xfId="0" applyFont="1" applyFill="1" applyAlignment="1">
      <alignment horizontal="center"/>
    </xf>
    <xf numFmtId="44" fontId="2" fillId="3" borderId="0" xfId="1" applyFont="1" applyFill="1" applyAlignment="1">
      <alignment horizontal="left" wrapText="1"/>
    </xf>
    <xf numFmtId="0" fontId="2" fillId="4" borderId="0" xfId="0" applyFont="1" applyFill="1" applyAlignment="1">
      <alignment horizontal="left" wrapText="1"/>
    </xf>
    <xf numFmtId="0" fontId="2" fillId="3" borderId="0" xfId="0" applyFont="1" applyFill="1" applyAlignment="1">
      <alignment horizontal="right"/>
    </xf>
    <xf numFmtId="44" fontId="2" fillId="0" borderId="0" xfId="0" applyNumberFormat="1" applyFont="1" applyAlignment="1">
      <alignment horizontal="center"/>
    </xf>
    <xf numFmtId="44" fontId="2" fillId="0" borderId="0" xfId="1" applyFont="1" applyAlignment="1">
      <alignment horizontal="center"/>
    </xf>
    <xf numFmtId="44" fontId="2" fillId="5" borderId="0" xfId="0" applyNumberFormat="1" applyFont="1" applyFill="1" applyAlignment="1">
      <alignment horizontal="center"/>
    </xf>
    <xf numFmtId="0" fontId="2" fillId="5" borderId="0" xfId="0" applyFont="1" applyFill="1" applyAlignment="1">
      <alignment horizontal="center"/>
    </xf>
    <xf numFmtId="44" fontId="2" fillId="3" borderId="0" xfId="0" applyNumberFormat="1" applyFont="1" applyFill="1" applyAlignment="1">
      <alignment horizontal="center"/>
    </xf>
    <xf numFmtId="0" fontId="7" fillId="5" borderId="0" xfId="0" applyFont="1" applyFill="1" applyAlignment="1">
      <alignment horizontal="center"/>
    </xf>
    <xf numFmtId="0" fontId="7" fillId="3" borderId="0" xfId="0" applyFont="1" applyFill="1" applyAlignment="1">
      <alignment horizontal="center"/>
    </xf>
    <xf numFmtId="0" fontId="2" fillId="8" borderId="0" xfId="0" applyFont="1" applyFill="1" applyAlignment="1">
      <alignment horizontal="center"/>
    </xf>
    <xf numFmtId="44" fontId="2" fillId="4" borderId="0" xfId="0" applyNumberFormat="1" applyFont="1" applyFill="1" applyAlignment="1">
      <alignment horizontal="right"/>
    </xf>
    <xf numFmtId="44" fontId="2" fillId="4" borderId="0" xfId="1" applyFont="1" applyFill="1" applyAlignment="1">
      <alignment horizontal="right"/>
    </xf>
    <xf numFmtId="0" fontId="2" fillId="9" borderId="0" xfId="0" applyFont="1" applyFill="1" applyAlignment="1">
      <alignment horizontal="center"/>
    </xf>
    <xf numFmtId="0" fontId="7" fillId="5" borderId="0" xfId="0" applyFont="1" applyFill="1"/>
    <xf numFmtId="44" fontId="2" fillId="3" borderId="0" xfId="0" applyNumberFormat="1" applyFont="1" applyFill="1" applyAlignment="1">
      <alignment horizontal="right"/>
    </xf>
    <xf numFmtId="44" fontId="2" fillId="3" borderId="0" xfId="1" applyFont="1" applyFill="1" applyAlignment="1">
      <alignment horizontal="right"/>
    </xf>
    <xf numFmtId="44" fontId="2" fillId="0" borderId="0" xfId="0" applyNumberFormat="1" applyFont="1"/>
    <xf numFmtId="0" fontId="7" fillId="0" borderId="0" xfId="0" applyFont="1"/>
    <xf numFmtId="0" fontId="2" fillId="3" borderId="0" xfId="0" quotePrefix="1" applyFont="1" applyFill="1"/>
    <xf numFmtId="0" fontId="7" fillId="4" borderId="0" xfId="0" applyFont="1" applyFill="1"/>
    <xf numFmtId="0" fontId="7" fillId="4" borderId="0" xfId="0" applyFont="1" applyFill="1" applyAlignment="1">
      <alignment horizontal="center" wrapText="1"/>
    </xf>
    <xf numFmtId="0" fontId="7" fillId="4" borderId="0" xfId="0" applyFont="1" applyFill="1" applyAlignment="1">
      <alignment horizontal="center"/>
    </xf>
    <xf numFmtId="0" fontId="2" fillId="4" borderId="0" xfId="0" quotePrefix="1" applyFont="1" applyFill="1"/>
    <xf numFmtId="44" fontId="2" fillId="4" borderId="0" xfId="0" applyNumberFormat="1" applyFont="1" applyFill="1" applyAlignment="1">
      <alignment horizontal="left"/>
    </xf>
    <xf numFmtId="0" fontId="7" fillId="8" borderId="0" xfId="0" applyFont="1" applyFill="1" applyAlignment="1">
      <alignment horizontal="center"/>
    </xf>
    <xf numFmtId="10" fontId="2" fillId="8" borderId="0" xfId="0" applyNumberFormat="1" applyFont="1" applyFill="1" applyAlignment="1">
      <alignment horizontal="center"/>
    </xf>
    <xf numFmtId="10" fontId="2" fillId="5" borderId="0" xfId="0" applyNumberFormat="1" applyFont="1" applyFill="1" applyAlignment="1">
      <alignment horizontal="center"/>
    </xf>
    <xf numFmtId="44" fontId="2" fillId="3" borderId="0" xfId="1" applyFont="1" applyFill="1" applyAlignment="1">
      <alignment horizontal="center"/>
    </xf>
    <xf numFmtId="0" fontId="7" fillId="7" borderId="0" xfId="0" applyFont="1" applyFill="1" applyAlignment="1">
      <alignment horizontal="center"/>
    </xf>
    <xf numFmtId="44" fontId="2" fillId="4" borderId="0" xfId="0" applyNumberFormat="1" applyFont="1" applyFill="1" applyAlignment="1">
      <alignment horizontal="center"/>
    </xf>
    <xf numFmtId="44" fontId="2" fillId="4" borderId="0" xfId="1" applyFont="1" applyFill="1" applyAlignment="1">
      <alignment horizontal="center"/>
    </xf>
    <xf numFmtId="0" fontId="2" fillId="10" borderId="0" xfId="0" applyFont="1" applyFill="1" applyAlignment="1">
      <alignment horizontal="center"/>
    </xf>
    <xf numFmtId="44" fontId="2" fillId="10" borderId="0" xfId="0" applyNumberFormat="1" applyFont="1" applyFill="1" applyAlignment="1">
      <alignment horizontal="center"/>
    </xf>
    <xf numFmtId="44" fontId="2" fillId="10" borderId="0" xfId="1" applyFont="1" applyFill="1" applyAlignment="1">
      <alignment horizontal="center"/>
    </xf>
    <xf numFmtId="0" fontId="6" fillId="10" borderId="0" xfId="0" applyFont="1" applyFill="1" applyAlignment="1">
      <alignment horizontal="center"/>
    </xf>
    <xf numFmtId="0" fontId="7" fillId="6" borderId="0" xfId="0" applyFont="1" applyFill="1" applyAlignment="1">
      <alignment horizontal="center"/>
    </xf>
    <xf numFmtId="44" fontId="7" fillId="6" borderId="0" xfId="0" applyNumberFormat="1" applyFont="1" applyFill="1" applyAlignment="1">
      <alignment horizontal="center"/>
    </xf>
    <xf numFmtId="44" fontId="7" fillId="7" borderId="0" xfId="0" applyNumberFormat="1" applyFont="1" applyFill="1" applyAlignment="1">
      <alignment horizontal="center"/>
    </xf>
    <xf numFmtId="44" fontId="7" fillId="7" borderId="0" xfId="1" applyFont="1" applyFill="1" applyAlignment="1">
      <alignment horizontal="center"/>
    </xf>
    <xf numFmtId="0" fontId="8" fillId="6" borderId="0" xfId="0" applyFont="1" applyFill="1" applyAlignment="1">
      <alignment horizontal="center"/>
    </xf>
    <xf numFmtId="44" fontId="7" fillId="3" borderId="0" xfId="0" applyNumberFormat="1" applyFont="1" applyFill="1" applyAlignment="1">
      <alignment horizontal="center"/>
    </xf>
    <xf numFmtId="44" fontId="7" fillId="3" borderId="0" xfId="1" applyFont="1" applyFill="1" applyAlignment="1">
      <alignment horizontal="center"/>
    </xf>
    <xf numFmtId="44" fontId="2" fillId="8" borderId="0" xfId="0" applyNumberFormat="1" applyFont="1" applyFill="1" applyAlignment="1">
      <alignment horizontal="center"/>
    </xf>
    <xf numFmtId="44" fontId="2" fillId="9" borderId="0" xfId="0" applyNumberFormat="1" applyFont="1" applyFill="1" applyAlignment="1">
      <alignment horizontal="center"/>
    </xf>
    <xf numFmtId="44" fontId="2" fillId="5" borderId="0" xfId="1" applyFont="1" applyFill="1" applyAlignment="1">
      <alignment horizontal="center"/>
    </xf>
    <xf numFmtId="44" fontId="2" fillId="8" borderId="0" xfId="1" applyFont="1" applyFill="1" applyAlignment="1">
      <alignment horizontal="center"/>
    </xf>
    <xf numFmtId="44" fontId="7" fillId="8" borderId="0" xfId="0" applyNumberFormat="1" applyFont="1" applyFill="1" applyAlignment="1">
      <alignment horizontal="center"/>
    </xf>
    <xf numFmtId="44" fontId="7" fillId="8" borderId="0" xfId="1" applyFont="1" applyFill="1" applyAlignment="1">
      <alignment horizontal="center"/>
    </xf>
    <xf numFmtId="0" fontId="9" fillId="3" borderId="0" xfId="0" applyFont="1" applyFill="1" applyAlignment="1">
      <alignment horizontal="center"/>
    </xf>
    <xf numFmtId="0" fontId="6" fillId="0" borderId="0" xfId="0" applyFont="1" applyAlignment="1">
      <alignment vertical="top" wrapText="1"/>
    </xf>
    <xf numFmtId="0" fontId="6" fillId="4" borderId="0" xfId="0" applyFont="1" applyFill="1" applyAlignment="1">
      <alignment horizontal="left" vertical="top" wrapText="1"/>
    </xf>
    <xf numFmtId="0" fontId="5" fillId="4" borderId="0" xfId="0" applyFont="1" applyFill="1" applyAlignment="1">
      <alignment horizontal="left" vertical="top" wrapText="1"/>
    </xf>
    <xf numFmtId="0" fontId="9" fillId="3" borderId="0" xfId="0" applyFont="1" applyFill="1" applyAlignment="1">
      <alignment horizontal="center" vertical="top" wrapText="1"/>
    </xf>
    <xf numFmtId="0" fontId="2" fillId="4" borderId="0" xfId="0" applyFont="1" applyFill="1" applyAlignment="1">
      <alignment vertical="top" wrapText="1"/>
    </xf>
  </cellXfs>
  <cellStyles count="2">
    <cellStyle name="Moneda"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image" Target="../media/image5.jpeg"/><Relationship Id="rId3" Type="http://schemas.openxmlformats.org/officeDocument/2006/relationships/hyperlink" Target="#Fundamentacion!A1"/><Relationship Id="rId7" Type="http://schemas.openxmlformats.org/officeDocument/2006/relationships/hyperlink" Target="#'Estado de resultados'!A1"/><Relationship Id="rId12" Type="http://schemas.openxmlformats.org/officeDocument/2006/relationships/image" Target="../media/image7.gif"/><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4.jpeg"/><Relationship Id="rId11" Type="http://schemas.openxmlformats.org/officeDocument/2006/relationships/hyperlink" Target="#'Balance General'!A1"/><Relationship Id="rId5" Type="http://schemas.openxmlformats.org/officeDocument/2006/relationships/hyperlink" Target="#Datos!A1"/><Relationship Id="rId10" Type="http://schemas.openxmlformats.org/officeDocument/2006/relationships/image" Target="../media/image6.jpeg"/><Relationship Id="rId4" Type="http://schemas.openxmlformats.org/officeDocument/2006/relationships/image" Target="../media/image3.png"/><Relationship Id="rId9" Type="http://schemas.openxmlformats.org/officeDocument/2006/relationships/hyperlink" Target="#FNE!A1"/></Relationships>
</file>

<file path=xl/drawings/_rels/drawing2.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Datos!A1"/><Relationship Id="rId7" Type="http://schemas.openxmlformats.org/officeDocument/2006/relationships/hyperlink" Target="#FNE!A1"/><Relationship Id="rId12" Type="http://schemas.openxmlformats.org/officeDocument/2006/relationships/image" Target="../media/image8.jpeg"/><Relationship Id="rId2" Type="http://schemas.openxmlformats.org/officeDocument/2006/relationships/image" Target="../media/image3.png"/><Relationship Id="rId1" Type="http://schemas.openxmlformats.org/officeDocument/2006/relationships/hyperlink" Target="#Fundamentacion!A1"/><Relationship Id="rId6" Type="http://schemas.openxmlformats.org/officeDocument/2006/relationships/image" Target="../media/image5.jpeg"/><Relationship Id="rId11" Type="http://schemas.openxmlformats.org/officeDocument/2006/relationships/hyperlink" Target="#Portada!A1"/><Relationship Id="rId5" Type="http://schemas.openxmlformats.org/officeDocument/2006/relationships/hyperlink" Target="#'Estado de resultados'!A1"/><Relationship Id="rId10" Type="http://schemas.openxmlformats.org/officeDocument/2006/relationships/image" Target="../media/image7.gif"/><Relationship Id="rId4" Type="http://schemas.openxmlformats.org/officeDocument/2006/relationships/image" Target="../media/image4.jpeg"/><Relationship Id="rId9" Type="http://schemas.openxmlformats.org/officeDocument/2006/relationships/hyperlink" Target="#'Balance General'!A1"/></Relationships>
</file>

<file path=xl/drawings/_rels/drawing3.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Datos!A1"/><Relationship Id="rId7" Type="http://schemas.openxmlformats.org/officeDocument/2006/relationships/hyperlink" Target="#FNE!A1"/><Relationship Id="rId12" Type="http://schemas.openxmlformats.org/officeDocument/2006/relationships/image" Target="../media/image8.jpeg"/><Relationship Id="rId2" Type="http://schemas.openxmlformats.org/officeDocument/2006/relationships/image" Target="../media/image3.png"/><Relationship Id="rId1" Type="http://schemas.openxmlformats.org/officeDocument/2006/relationships/hyperlink" Target="#Fundamentacion!A1"/><Relationship Id="rId6" Type="http://schemas.openxmlformats.org/officeDocument/2006/relationships/image" Target="../media/image5.jpeg"/><Relationship Id="rId11" Type="http://schemas.openxmlformats.org/officeDocument/2006/relationships/hyperlink" Target="#Portada!A1"/><Relationship Id="rId5" Type="http://schemas.openxmlformats.org/officeDocument/2006/relationships/hyperlink" Target="#'Estado de resultados'!A1"/><Relationship Id="rId10" Type="http://schemas.openxmlformats.org/officeDocument/2006/relationships/image" Target="../media/image7.gif"/><Relationship Id="rId4" Type="http://schemas.openxmlformats.org/officeDocument/2006/relationships/image" Target="../media/image4.jpeg"/><Relationship Id="rId9" Type="http://schemas.openxmlformats.org/officeDocument/2006/relationships/hyperlink" Target="#'Balance General'!A1"/></Relationships>
</file>

<file path=xl/drawings/_rels/drawing4.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Datos!A1"/><Relationship Id="rId7" Type="http://schemas.openxmlformats.org/officeDocument/2006/relationships/hyperlink" Target="#FNE!A1"/><Relationship Id="rId12" Type="http://schemas.openxmlformats.org/officeDocument/2006/relationships/image" Target="../media/image8.jpeg"/><Relationship Id="rId2" Type="http://schemas.openxmlformats.org/officeDocument/2006/relationships/image" Target="../media/image3.png"/><Relationship Id="rId1" Type="http://schemas.openxmlformats.org/officeDocument/2006/relationships/hyperlink" Target="#Fundamentacion!A1"/><Relationship Id="rId6" Type="http://schemas.openxmlformats.org/officeDocument/2006/relationships/image" Target="../media/image5.jpeg"/><Relationship Id="rId11" Type="http://schemas.openxmlformats.org/officeDocument/2006/relationships/hyperlink" Target="#Portada!A1"/><Relationship Id="rId5" Type="http://schemas.openxmlformats.org/officeDocument/2006/relationships/hyperlink" Target="#'Estado de resultados'!A1"/><Relationship Id="rId10" Type="http://schemas.openxmlformats.org/officeDocument/2006/relationships/image" Target="../media/image7.gif"/><Relationship Id="rId4" Type="http://schemas.openxmlformats.org/officeDocument/2006/relationships/image" Target="../media/image4.jpeg"/><Relationship Id="rId9" Type="http://schemas.openxmlformats.org/officeDocument/2006/relationships/hyperlink" Target="#'Balance General'!A1"/></Relationships>
</file>

<file path=xl/drawings/_rels/drawing5.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Datos!A1"/><Relationship Id="rId7" Type="http://schemas.openxmlformats.org/officeDocument/2006/relationships/hyperlink" Target="#FNE!A1"/><Relationship Id="rId12" Type="http://schemas.openxmlformats.org/officeDocument/2006/relationships/image" Target="../media/image8.jpeg"/><Relationship Id="rId2" Type="http://schemas.openxmlformats.org/officeDocument/2006/relationships/image" Target="../media/image3.png"/><Relationship Id="rId1" Type="http://schemas.openxmlformats.org/officeDocument/2006/relationships/hyperlink" Target="#Fundamentacion!A1"/><Relationship Id="rId6" Type="http://schemas.openxmlformats.org/officeDocument/2006/relationships/image" Target="../media/image5.jpeg"/><Relationship Id="rId11" Type="http://schemas.openxmlformats.org/officeDocument/2006/relationships/hyperlink" Target="#Portada!A1"/><Relationship Id="rId5" Type="http://schemas.openxmlformats.org/officeDocument/2006/relationships/hyperlink" Target="#'Estado de resultados'!A1"/><Relationship Id="rId10" Type="http://schemas.openxmlformats.org/officeDocument/2006/relationships/image" Target="../media/image7.gif"/><Relationship Id="rId4" Type="http://schemas.openxmlformats.org/officeDocument/2006/relationships/image" Target="../media/image4.jpeg"/><Relationship Id="rId9" Type="http://schemas.openxmlformats.org/officeDocument/2006/relationships/hyperlink" Target="#'Balance General'!A1"/></Relationships>
</file>

<file path=xl/drawings/_rels/drawing6.xml.rels><?xml version="1.0" encoding="UTF-8" standalone="yes"?>
<Relationships xmlns="http://schemas.openxmlformats.org/package/2006/relationships"><Relationship Id="rId8" Type="http://schemas.openxmlformats.org/officeDocument/2006/relationships/image" Target="../media/image6.jpeg"/><Relationship Id="rId3" Type="http://schemas.openxmlformats.org/officeDocument/2006/relationships/hyperlink" Target="#Datos!A1"/><Relationship Id="rId7" Type="http://schemas.openxmlformats.org/officeDocument/2006/relationships/hyperlink" Target="#FNE!A1"/><Relationship Id="rId12" Type="http://schemas.openxmlformats.org/officeDocument/2006/relationships/image" Target="../media/image8.jpeg"/><Relationship Id="rId2" Type="http://schemas.openxmlformats.org/officeDocument/2006/relationships/image" Target="../media/image3.png"/><Relationship Id="rId1" Type="http://schemas.openxmlformats.org/officeDocument/2006/relationships/hyperlink" Target="#Fundamentacion!A1"/><Relationship Id="rId6" Type="http://schemas.openxmlformats.org/officeDocument/2006/relationships/image" Target="../media/image5.jpeg"/><Relationship Id="rId11" Type="http://schemas.openxmlformats.org/officeDocument/2006/relationships/hyperlink" Target="#Portada!A1"/><Relationship Id="rId5" Type="http://schemas.openxmlformats.org/officeDocument/2006/relationships/hyperlink" Target="#'Estado de resultados'!A1"/><Relationship Id="rId10" Type="http://schemas.openxmlformats.org/officeDocument/2006/relationships/image" Target="../media/image7.gif"/><Relationship Id="rId4" Type="http://schemas.openxmlformats.org/officeDocument/2006/relationships/image" Target="../media/image4.jpeg"/><Relationship Id="rId9" Type="http://schemas.openxmlformats.org/officeDocument/2006/relationships/hyperlink" Target="#'Balance General'!A1"/></Relationships>
</file>

<file path=xl/drawings/drawing1.xml><?xml version="1.0" encoding="utf-8"?>
<xdr:wsDr xmlns:xdr="http://schemas.openxmlformats.org/drawingml/2006/spreadsheetDrawing" xmlns:a="http://schemas.openxmlformats.org/drawingml/2006/main">
  <xdr:twoCellAnchor editAs="oneCell">
    <xdr:from>
      <xdr:col>0</xdr:col>
      <xdr:colOff>165287</xdr:colOff>
      <xdr:row>1</xdr:row>
      <xdr:rowOff>25214</xdr:rowOff>
    </xdr:from>
    <xdr:to>
      <xdr:col>2</xdr:col>
      <xdr:colOff>231962</xdr:colOff>
      <xdr:row>12</xdr:row>
      <xdr:rowOff>190314</xdr:rowOff>
    </xdr:to>
    <xdr:pic>
      <xdr:nvPicPr>
        <xdr:cNvPr id="2" name="27 Imagen" descr="ipn.png">
          <a:extLst>
            <a:ext uri="{FF2B5EF4-FFF2-40B4-BE49-F238E27FC236}">
              <a16:creationId xmlns:a16="http://schemas.microsoft.com/office/drawing/2014/main" id="{00000000-0008-0000-0000-00001C000000}"/>
            </a:ext>
          </a:extLst>
        </xdr:cNvPr>
        <xdr:cNvPicPr>
          <a:picLocks noChangeAspect="1"/>
        </xdr:cNvPicPr>
      </xdr:nvPicPr>
      <xdr:blipFill rotWithShape="1">
        <a:blip xmlns:r="http://schemas.openxmlformats.org/officeDocument/2006/relationships" r:embed="rId1"/>
        <a:srcRect l="14571" r="13857"/>
        <a:stretch/>
      </xdr:blipFill>
      <xdr:spPr>
        <a:xfrm>
          <a:off x="165287" y="215714"/>
          <a:ext cx="1590675" cy="2260600"/>
        </a:xfrm>
        <a:prstGeom prst="rect">
          <a:avLst/>
        </a:prstGeom>
      </xdr:spPr>
    </xdr:pic>
    <xdr:clientData/>
  </xdr:twoCellAnchor>
  <xdr:twoCellAnchor editAs="oneCell">
    <xdr:from>
      <xdr:col>6</xdr:col>
      <xdr:colOff>657225</xdr:colOff>
      <xdr:row>3</xdr:row>
      <xdr:rowOff>85725</xdr:rowOff>
    </xdr:from>
    <xdr:to>
      <xdr:col>9</xdr:col>
      <xdr:colOff>393195</xdr:colOff>
      <xdr:row>11</xdr:row>
      <xdr:rowOff>57150</xdr:rowOff>
    </xdr:to>
    <xdr:pic>
      <xdr:nvPicPr>
        <xdr:cNvPr id="3" name="22 Imagen" descr="escom.png">
          <a:extLst>
            <a:ext uri="{FF2B5EF4-FFF2-40B4-BE49-F238E27FC236}">
              <a16:creationId xmlns:a16="http://schemas.microsoft.com/office/drawing/2014/main" id="{00000000-0008-0000-0000-000017000000}"/>
            </a:ext>
          </a:extLst>
        </xdr:cNvPr>
        <xdr:cNvPicPr>
          <a:picLocks noChangeAspect="1"/>
        </xdr:cNvPicPr>
      </xdr:nvPicPr>
      <xdr:blipFill rotWithShape="1">
        <a:blip xmlns:r="http://schemas.openxmlformats.org/officeDocument/2006/relationships" r:embed="rId2"/>
        <a:srcRect t="10028" b="16530"/>
        <a:stretch/>
      </xdr:blipFill>
      <xdr:spPr>
        <a:xfrm>
          <a:off x="5229225" y="657225"/>
          <a:ext cx="2021970" cy="1495425"/>
        </a:xfrm>
        <a:prstGeom prst="rect">
          <a:avLst/>
        </a:prstGeom>
      </xdr:spPr>
    </xdr:pic>
    <xdr:clientData/>
  </xdr:twoCellAnchor>
  <xdr:twoCellAnchor>
    <xdr:from>
      <xdr:col>0</xdr:col>
      <xdr:colOff>66675</xdr:colOff>
      <xdr:row>31</xdr:row>
      <xdr:rowOff>47625</xdr:rowOff>
    </xdr:from>
    <xdr:to>
      <xdr:col>2</xdr:col>
      <xdr:colOff>190500</xdr:colOff>
      <xdr:row>32</xdr:row>
      <xdr:rowOff>142875</xdr:rowOff>
    </xdr:to>
    <xdr:sp macro="" textlink="">
      <xdr:nvSpPr>
        <xdr:cNvPr id="4" name="Rectángulo redondeado 3">
          <a:hlinkClick xmlns:r="http://schemas.openxmlformats.org/officeDocument/2006/relationships" r:id="rId3"/>
        </xdr:cNvPr>
        <xdr:cNvSpPr/>
      </xdr:nvSpPr>
      <xdr:spPr>
        <a:xfrm>
          <a:off x="66675" y="60864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0</xdr:col>
      <xdr:colOff>352425</xdr:colOff>
      <xdr:row>25</xdr:row>
      <xdr:rowOff>38100</xdr:rowOff>
    </xdr:from>
    <xdr:to>
      <xdr:col>1</xdr:col>
      <xdr:colOff>638175</xdr:colOff>
      <xdr:row>30</xdr:row>
      <xdr:rowOff>133350</xdr:rowOff>
    </xdr:to>
    <xdr:pic>
      <xdr:nvPicPr>
        <xdr:cNvPr id="5" name="Imagen 4" descr="Resultado de imagen para portapapeles animada">
          <a:hlinkClick xmlns:r="http://schemas.openxmlformats.org/officeDocument/2006/relationships" r:id="rId3"/>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352425" y="4933950"/>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66675</xdr:colOff>
      <xdr:row>31</xdr:row>
      <xdr:rowOff>57150</xdr:rowOff>
    </xdr:from>
    <xdr:to>
      <xdr:col>5</xdr:col>
      <xdr:colOff>190500</xdr:colOff>
      <xdr:row>32</xdr:row>
      <xdr:rowOff>152400</xdr:rowOff>
    </xdr:to>
    <xdr:sp macro="" textlink="">
      <xdr:nvSpPr>
        <xdr:cNvPr id="6" name="Rectángulo redondeado 5">
          <a:hlinkClick xmlns:r="http://schemas.openxmlformats.org/officeDocument/2006/relationships" r:id="rId5"/>
        </xdr:cNvPr>
        <xdr:cNvSpPr/>
      </xdr:nvSpPr>
      <xdr:spPr>
        <a:xfrm>
          <a:off x="2352675" y="609600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3</xdr:col>
      <xdr:colOff>209550</xdr:colOff>
      <xdr:row>25</xdr:row>
      <xdr:rowOff>6766</xdr:rowOff>
    </xdr:from>
    <xdr:to>
      <xdr:col>5</xdr:col>
      <xdr:colOff>66675</xdr:colOff>
      <xdr:row>30</xdr:row>
      <xdr:rowOff>133349</xdr:rowOff>
    </xdr:to>
    <xdr:pic>
      <xdr:nvPicPr>
        <xdr:cNvPr id="7" name="Imagen 6" descr="Resultado de imagen para datos animada">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7605" t="16182" r="5825" b="16181"/>
        <a:stretch/>
      </xdr:blipFill>
      <xdr:spPr bwMode="auto">
        <a:xfrm>
          <a:off x="2495550" y="4902616"/>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142875</xdr:colOff>
      <xdr:row>30</xdr:row>
      <xdr:rowOff>171449</xdr:rowOff>
    </xdr:from>
    <xdr:to>
      <xdr:col>8</xdr:col>
      <xdr:colOff>266700</xdr:colOff>
      <xdr:row>33</xdr:row>
      <xdr:rowOff>85725</xdr:rowOff>
    </xdr:to>
    <xdr:sp macro="" textlink="">
      <xdr:nvSpPr>
        <xdr:cNvPr id="8" name="Rectángulo redondeado 7">
          <a:hlinkClick xmlns:r="http://schemas.openxmlformats.org/officeDocument/2006/relationships" r:id="rId7"/>
        </xdr:cNvPr>
        <xdr:cNvSpPr/>
      </xdr:nvSpPr>
      <xdr:spPr>
        <a:xfrm>
          <a:off x="4714875" y="6019799"/>
          <a:ext cx="1647825" cy="48577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6</xdr:col>
      <xdr:colOff>228601</xdr:colOff>
      <xdr:row>26</xdr:row>
      <xdr:rowOff>66675</xdr:rowOff>
    </xdr:from>
    <xdr:to>
      <xdr:col>8</xdr:col>
      <xdr:colOff>142875</xdr:colOff>
      <xdr:row>30</xdr:row>
      <xdr:rowOff>45503</xdr:rowOff>
    </xdr:to>
    <xdr:pic>
      <xdr:nvPicPr>
        <xdr:cNvPr id="10" name="Imagen 9" descr="Resultados, tipografÃ­a animada â  Fotos de Stock">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14311" t="12933" r="9540" b="24311"/>
        <a:stretch/>
      </xdr:blipFill>
      <xdr:spPr bwMode="auto">
        <a:xfrm>
          <a:off x="4800601" y="5153025"/>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628650</xdr:colOff>
      <xdr:row>41</xdr:row>
      <xdr:rowOff>85725</xdr:rowOff>
    </xdr:from>
    <xdr:to>
      <xdr:col>2</xdr:col>
      <xdr:colOff>752475</xdr:colOff>
      <xdr:row>42</xdr:row>
      <xdr:rowOff>180975</xdr:rowOff>
    </xdr:to>
    <xdr:sp macro="" textlink="">
      <xdr:nvSpPr>
        <xdr:cNvPr id="11" name="Rectángulo redondeado 10">
          <a:hlinkClick xmlns:r="http://schemas.openxmlformats.org/officeDocument/2006/relationships" r:id="rId9"/>
        </xdr:cNvPr>
        <xdr:cNvSpPr/>
      </xdr:nvSpPr>
      <xdr:spPr>
        <a:xfrm>
          <a:off x="628650" y="80295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xdr:col>
      <xdr:colOff>85725</xdr:colOff>
      <xdr:row>35</xdr:row>
      <xdr:rowOff>57150</xdr:rowOff>
    </xdr:from>
    <xdr:to>
      <xdr:col>2</xdr:col>
      <xdr:colOff>619125</xdr:colOff>
      <xdr:row>40</xdr:row>
      <xdr:rowOff>98013</xdr:rowOff>
    </xdr:to>
    <xdr:pic>
      <xdr:nvPicPr>
        <xdr:cNvPr id="12" name="Imagen 11" descr="Resultado de imagen para flechas de flujo animada">
          <a:hlinkClick xmlns:r="http://schemas.openxmlformats.org/officeDocument/2006/relationships" r:id="rId9"/>
        </xdr:cNvPr>
        <xdr:cNvPicPr>
          <a:picLocks noChangeAspect="1" noChangeArrowheads="1"/>
        </xdr:cNvPicPr>
      </xdr:nvPicPr>
      <xdr:blipFill rotWithShape="1">
        <a:blip xmlns:r="http://schemas.openxmlformats.org/officeDocument/2006/relationships" r:embed="rId10" cstate="print">
          <a:extLst>
            <a:ext uri="{28A0092B-C50C-407E-A947-70E740481C1C}">
              <a14:useLocalDpi xmlns:a14="http://schemas.microsoft.com/office/drawing/2010/main" val="0"/>
            </a:ext>
          </a:extLst>
        </a:blip>
        <a:srcRect l="20001" t="7430" r="20615" b="20463"/>
        <a:stretch/>
      </xdr:blipFill>
      <xdr:spPr bwMode="auto">
        <a:xfrm>
          <a:off x="847725" y="6858000"/>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xdr:col>
      <xdr:colOff>28575</xdr:colOff>
      <xdr:row>41</xdr:row>
      <xdr:rowOff>76200</xdr:rowOff>
    </xdr:from>
    <xdr:to>
      <xdr:col>6</xdr:col>
      <xdr:colOff>152400</xdr:colOff>
      <xdr:row>42</xdr:row>
      <xdr:rowOff>171450</xdr:rowOff>
    </xdr:to>
    <xdr:sp macro="" textlink="">
      <xdr:nvSpPr>
        <xdr:cNvPr id="13" name="Rectángulo redondeado 12">
          <a:hlinkClick xmlns:r="http://schemas.openxmlformats.org/officeDocument/2006/relationships" r:id="rId11"/>
        </xdr:cNvPr>
        <xdr:cNvSpPr/>
      </xdr:nvSpPr>
      <xdr:spPr>
        <a:xfrm>
          <a:off x="3076575" y="80200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4</xdr:col>
      <xdr:colOff>533400</xdr:colOff>
      <xdr:row>35</xdr:row>
      <xdr:rowOff>170304</xdr:rowOff>
    </xdr:from>
    <xdr:to>
      <xdr:col>5</xdr:col>
      <xdr:colOff>504824</xdr:colOff>
      <xdr:row>40</xdr:row>
      <xdr:rowOff>66674</xdr:rowOff>
    </xdr:to>
    <xdr:pic>
      <xdr:nvPicPr>
        <xdr:cNvPr id="14" name="Imagen 13" descr="Resultado de imagen para balanza animada">
          <a:hlinkClick xmlns:r="http://schemas.openxmlformats.org/officeDocument/2006/relationships" r:id="rId11"/>
        </xdr:cNvPr>
        <xdr:cNvPicPr>
          <a:picLocks noChangeAspect="1" noChangeArrowheads="1"/>
        </xdr:cNvPicPr>
      </xdr:nvPicPr>
      <xdr:blipFill>
        <a:blip xmlns:r="http://schemas.openxmlformats.org/officeDocument/2006/relationships" r:embed="rId12" cstate="print">
          <a:extLst>
            <a:ext uri="{28A0092B-C50C-407E-A947-70E740481C1C}">
              <a14:useLocalDpi xmlns:a14="http://schemas.microsoft.com/office/drawing/2010/main" val="0"/>
            </a:ext>
          </a:extLst>
        </a:blip>
        <a:srcRect/>
        <a:stretch>
          <a:fillRect/>
        </a:stretch>
      </xdr:blipFill>
      <xdr:spPr bwMode="auto">
        <a:xfrm>
          <a:off x="3581400" y="6971154"/>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11</xdr:col>
      <xdr:colOff>66675</xdr:colOff>
      <xdr:row>17</xdr:row>
      <xdr:rowOff>47625</xdr:rowOff>
    </xdr:from>
    <xdr:to>
      <xdr:col>13</xdr:col>
      <xdr:colOff>190500</xdr:colOff>
      <xdr:row>18</xdr:row>
      <xdr:rowOff>142875</xdr:rowOff>
    </xdr:to>
    <xdr:sp macro="" textlink="">
      <xdr:nvSpPr>
        <xdr:cNvPr id="2" name="Rectángulo redondeado 1">
          <a:hlinkClick xmlns:r="http://schemas.openxmlformats.org/officeDocument/2006/relationships" r:id="rId1"/>
        </xdr:cNvPr>
        <xdr:cNvSpPr/>
      </xdr:nvSpPr>
      <xdr:spPr>
        <a:xfrm>
          <a:off x="66675" y="60864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11</xdr:col>
      <xdr:colOff>352425</xdr:colOff>
      <xdr:row>11</xdr:row>
      <xdr:rowOff>38100</xdr:rowOff>
    </xdr:from>
    <xdr:to>
      <xdr:col>12</xdr:col>
      <xdr:colOff>638175</xdr:colOff>
      <xdr:row>16</xdr:row>
      <xdr:rowOff>133350</xdr:rowOff>
    </xdr:to>
    <xdr:pic>
      <xdr:nvPicPr>
        <xdr:cNvPr id="3" name="Imagen 2" descr="Resultado de imagen para portapapeles animad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52425" y="4933950"/>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47625</xdr:colOff>
      <xdr:row>27</xdr:row>
      <xdr:rowOff>47625</xdr:rowOff>
    </xdr:from>
    <xdr:to>
      <xdr:col>13</xdr:col>
      <xdr:colOff>171450</xdr:colOff>
      <xdr:row>28</xdr:row>
      <xdr:rowOff>142875</xdr:rowOff>
    </xdr:to>
    <xdr:sp macro="" textlink="">
      <xdr:nvSpPr>
        <xdr:cNvPr id="4" name="Rectángulo redondeado 3">
          <a:hlinkClick xmlns:r="http://schemas.openxmlformats.org/officeDocument/2006/relationships" r:id="rId3"/>
        </xdr:cNvPr>
        <xdr:cNvSpPr/>
      </xdr:nvSpPr>
      <xdr:spPr>
        <a:xfrm>
          <a:off x="8429625" y="525780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11</xdr:col>
      <xdr:colOff>209550</xdr:colOff>
      <xdr:row>20</xdr:row>
      <xdr:rowOff>178216</xdr:rowOff>
    </xdr:from>
    <xdr:to>
      <xdr:col>13</xdr:col>
      <xdr:colOff>66675</xdr:colOff>
      <xdr:row>26</xdr:row>
      <xdr:rowOff>114299</xdr:rowOff>
    </xdr:to>
    <xdr:pic>
      <xdr:nvPicPr>
        <xdr:cNvPr id="5" name="Imagen 4" descr="Resultado de imagen para datos animada">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605" t="16182" r="5825" b="16181"/>
        <a:stretch/>
      </xdr:blipFill>
      <xdr:spPr bwMode="auto">
        <a:xfrm>
          <a:off x="8591550" y="405489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742950</xdr:colOff>
      <xdr:row>35</xdr:row>
      <xdr:rowOff>85724</xdr:rowOff>
    </xdr:from>
    <xdr:to>
      <xdr:col>13</xdr:col>
      <xdr:colOff>104775</xdr:colOff>
      <xdr:row>38</xdr:row>
      <xdr:rowOff>0</xdr:rowOff>
    </xdr:to>
    <xdr:sp macro="" textlink="">
      <xdr:nvSpPr>
        <xdr:cNvPr id="6" name="Rectángulo redondeado 5">
          <a:hlinkClick xmlns:r="http://schemas.openxmlformats.org/officeDocument/2006/relationships" r:id="rId5"/>
        </xdr:cNvPr>
        <xdr:cNvSpPr/>
      </xdr:nvSpPr>
      <xdr:spPr>
        <a:xfrm>
          <a:off x="8362950" y="6819899"/>
          <a:ext cx="1647825" cy="48577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11</xdr:col>
      <xdr:colOff>142876</xdr:colOff>
      <xdr:row>31</xdr:row>
      <xdr:rowOff>9525</xdr:rowOff>
    </xdr:from>
    <xdr:to>
      <xdr:col>13</xdr:col>
      <xdr:colOff>57150</xdr:colOff>
      <xdr:row>34</xdr:row>
      <xdr:rowOff>178853</xdr:rowOff>
    </xdr:to>
    <xdr:pic>
      <xdr:nvPicPr>
        <xdr:cNvPr id="7" name="Imagen 6" descr="Resultados, tipografÃ­a animada â  Fotos de Stock">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311" t="12933" r="9540" b="24311"/>
        <a:stretch/>
      </xdr:blipFill>
      <xdr:spPr bwMode="auto">
        <a:xfrm>
          <a:off x="8524876" y="5981700"/>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76200</xdr:colOff>
      <xdr:row>46</xdr:row>
      <xdr:rowOff>19050</xdr:rowOff>
    </xdr:from>
    <xdr:to>
      <xdr:col>13</xdr:col>
      <xdr:colOff>200025</xdr:colOff>
      <xdr:row>47</xdr:row>
      <xdr:rowOff>114300</xdr:rowOff>
    </xdr:to>
    <xdr:sp macro="" textlink="">
      <xdr:nvSpPr>
        <xdr:cNvPr id="8" name="Rectángulo redondeado 7">
          <a:hlinkClick xmlns:r="http://schemas.openxmlformats.org/officeDocument/2006/relationships" r:id="rId7"/>
        </xdr:cNvPr>
        <xdr:cNvSpPr/>
      </xdr:nvSpPr>
      <xdr:spPr>
        <a:xfrm>
          <a:off x="8458200" y="88677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11</xdr:col>
      <xdr:colOff>133350</xdr:colOff>
      <xdr:row>39</xdr:row>
      <xdr:rowOff>200025</xdr:rowOff>
    </xdr:from>
    <xdr:to>
      <xdr:col>12</xdr:col>
      <xdr:colOff>666750</xdr:colOff>
      <xdr:row>45</xdr:row>
      <xdr:rowOff>31338</xdr:rowOff>
    </xdr:to>
    <xdr:pic>
      <xdr:nvPicPr>
        <xdr:cNvPr id="9" name="Imagen 8" descr="Resultado de imagen para flechas de flujo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0001" t="7430" r="20615" b="20463"/>
        <a:stretch/>
      </xdr:blipFill>
      <xdr:spPr bwMode="auto">
        <a:xfrm>
          <a:off x="8515350" y="7696200"/>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95250</xdr:colOff>
      <xdr:row>53</xdr:row>
      <xdr:rowOff>180975</xdr:rowOff>
    </xdr:from>
    <xdr:to>
      <xdr:col>13</xdr:col>
      <xdr:colOff>219075</xdr:colOff>
      <xdr:row>55</xdr:row>
      <xdr:rowOff>85725</xdr:rowOff>
    </xdr:to>
    <xdr:sp macro="" textlink="">
      <xdr:nvSpPr>
        <xdr:cNvPr id="10" name="Rectángulo redondeado 9">
          <a:hlinkClick xmlns:r="http://schemas.openxmlformats.org/officeDocument/2006/relationships" r:id="rId9"/>
        </xdr:cNvPr>
        <xdr:cNvSpPr/>
      </xdr:nvSpPr>
      <xdr:spPr>
        <a:xfrm>
          <a:off x="8477250" y="1036320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11</xdr:col>
      <xdr:colOff>504825</xdr:colOff>
      <xdr:row>49</xdr:row>
      <xdr:rowOff>17904</xdr:rowOff>
    </xdr:from>
    <xdr:to>
      <xdr:col>12</xdr:col>
      <xdr:colOff>476249</xdr:colOff>
      <xdr:row>53</xdr:row>
      <xdr:rowOff>104774</xdr:rowOff>
    </xdr:to>
    <xdr:pic>
      <xdr:nvPicPr>
        <xdr:cNvPr id="11" name="Imagen 10" descr="Resultado de imagen para balanza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8886825" y="9438129"/>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209550</xdr:colOff>
      <xdr:row>8</xdr:row>
      <xdr:rowOff>0</xdr:rowOff>
    </xdr:from>
    <xdr:to>
      <xdr:col>13</xdr:col>
      <xdr:colOff>333375</xdr:colOff>
      <xdr:row>9</xdr:row>
      <xdr:rowOff>95250</xdr:rowOff>
    </xdr:to>
    <xdr:sp macro="" textlink="">
      <xdr:nvSpPr>
        <xdr:cNvPr id="12" name="Rectángulo redondeado 11">
          <a:hlinkClick xmlns:r="http://schemas.openxmlformats.org/officeDocument/2006/relationships" r:id="rId11"/>
        </xdr:cNvPr>
        <xdr:cNvSpPr/>
      </xdr:nvSpPr>
      <xdr:spPr>
        <a:xfrm>
          <a:off x="8591550" y="1590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11</xdr:col>
      <xdr:colOff>428625</xdr:colOff>
      <xdr:row>1</xdr:row>
      <xdr:rowOff>58869</xdr:rowOff>
    </xdr:from>
    <xdr:to>
      <xdr:col>13</xdr:col>
      <xdr:colOff>76199</xdr:colOff>
      <xdr:row>7</xdr:row>
      <xdr:rowOff>37913</xdr:rowOff>
    </xdr:to>
    <xdr:pic>
      <xdr:nvPicPr>
        <xdr:cNvPr id="13" name="Imagen 12" descr="Resultado de imagen para docs animados">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6981" t="5000" r="18554" b="29000"/>
        <a:stretch/>
      </xdr:blipFill>
      <xdr:spPr bwMode="auto">
        <a:xfrm>
          <a:off x="8810625" y="306519"/>
          <a:ext cx="1171574" cy="113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723900</xdr:colOff>
      <xdr:row>30</xdr:row>
      <xdr:rowOff>180975</xdr:rowOff>
    </xdr:from>
    <xdr:to>
      <xdr:col>5</xdr:col>
      <xdr:colOff>85725</xdr:colOff>
      <xdr:row>32</xdr:row>
      <xdr:rowOff>85725</xdr:rowOff>
    </xdr:to>
    <xdr:sp macro="" textlink="">
      <xdr:nvSpPr>
        <xdr:cNvPr id="2" name="Rectángulo redondeado 1">
          <a:hlinkClick xmlns:r="http://schemas.openxmlformats.org/officeDocument/2006/relationships" r:id="rId1"/>
        </xdr:cNvPr>
        <xdr:cNvSpPr/>
      </xdr:nvSpPr>
      <xdr:spPr>
        <a:xfrm>
          <a:off x="2247900" y="59626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257175</xdr:colOff>
      <xdr:row>24</xdr:row>
      <xdr:rowOff>114300</xdr:rowOff>
    </xdr:from>
    <xdr:to>
      <xdr:col>4</xdr:col>
      <xdr:colOff>542925</xdr:colOff>
      <xdr:row>30</xdr:row>
      <xdr:rowOff>19050</xdr:rowOff>
    </xdr:to>
    <xdr:pic>
      <xdr:nvPicPr>
        <xdr:cNvPr id="3" name="Imagen 2" descr="Resultado de imagen para portapapeles animad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43175" y="47529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466725</xdr:colOff>
      <xdr:row>30</xdr:row>
      <xdr:rowOff>171450</xdr:rowOff>
    </xdr:from>
    <xdr:to>
      <xdr:col>7</xdr:col>
      <xdr:colOff>590550</xdr:colOff>
      <xdr:row>32</xdr:row>
      <xdr:rowOff>76200</xdr:rowOff>
    </xdr:to>
    <xdr:sp macro="" textlink="">
      <xdr:nvSpPr>
        <xdr:cNvPr id="4" name="Rectángulo redondeado 3">
          <a:hlinkClick xmlns:r="http://schemas.openxmlformats.org/officeDocument/2006/relationships" r:id="rId3"/>
        </xdr:cNvPr>
        <xdr:cNvSpPr/>
      </xdr:nvSpPr>
      <xdr:spPr>
        <a:xfrm>
          <a:off x="4276725" y="59531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533400</xdr:colOff>
      <xdr:row>24</xdr:row>
      <xdr:rowOff>6766</xdr:rowOff>
    </xdr:from>
    <xdr:to>
      <xdr:col>7</xdr:col>
      <xdr:colOff>390525</xdr:colOff>
      <xdr:row>29</xdr:row>
      <xdr:rowOff>133349</xdr:rowOff>
    </xdr:to>
    <xdr:pic>
      <xdr:nvPicPr>
        <xdr:cNvPr id="5" name="Imagen 4" descr="Resultado de imagen para datos animada">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605" t="16182" r="5825" b="16181"/>
        <a:stretch/>
      </xdr:blipFill>
      <xdr:spPr bwMode="auto">
        <a:xfrm>
          <a:off x="4343400" y="46454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381000</xdr:colOff>
      <xdr:row>30</xdr:row>
      <xdr:rowOff>66674</xdr:rowOff>
    </xdr:from>
    <xdr:to>
      <xdr:col>10</xdr:col>
      <xdr:colOff>152400</xdr:colOff>
      <xdr:row>33</xdr:row>
      <xdr:rowOff>0</xdr:rowOff>
    </xdr:to>
    <xdr:sp macro="" textlink="">
      <xdr:nvSpPr>
        <xdr:cNvPr id="6" name="Rectángulo redondeado 5">
          <a:hlinkClick xmlns:r="http://schemas.openxmlformats.org/officeDocument/2006/relationships" r:id="rId5"/>
        </xdr:cNvPr>
        <xdr:cNvSpPr/>
      </xdr:nvSpPr>
      <xdr:spPr>
        <a:xfrm>
          <a:off x="6477000" y="5848349"/>
          <a:ext cx="1295400" cy="50482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8</xdr:col>
      <xdr:colOff>304801</xdr:colOff>
      <xdr:row>25</xdr:row>
      <xdr:rowOff>57150</xdr:rowOff>
    </xdr:from>
    <xdr:to>
      <xdr:col>10</xdr:col>
      <xdr:colOff>219075</xdr:colOff>
      <xdr:row>29</xdr:row>
      <xdr:rowOff>35978</xdr:rowOff>
    </xdr:to>
    <xdr:pic>
      <xdr:nvPicPr>
        <xdr:cNvPr id="7" name="Imagen 6" descr="Resultados, tipografÃ­a animada â  Fotos de Stock">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311" t="12933" r="9540" b="24311"/>
        <a:stretch/>
      </xdr:blipFill>
      <xdr:spPr bwMode="auto">
        <a:xfrm>
          <a:off x="6400801" y="4886325"/>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581025</xdr:colOff>
      <xdr:row>30</xdr:row>
      <xdr:rowOff>114300</xdr:rowOff>
    </xdr:from>
    <xdr:to>
      <xdr:col>12</xdr:col>
      <xdr:colOff>704850</xdr:colOff>
      <xdr:row>32</xdr:row>
      <xdr:rowOff>19050</xdr:rowOff>
    </xdr:to>
    <xdr:sp macro="" textlink="">
      <xdr:nvSpPr>
        <xdr:cNvPr id="8" name="Rectángulo redondeado 7">
          <a:hlinkClick xmlns:r="http://schemas.openxmlformats.org/officeDocument/2006/relationships" r:id="rId7"/>
        </xdr:cNvPr>
        <xdr:cNvSpPr/>
      </xdr:nvSpPr>
      <xdr:spPr>
        <a:xfrm>
          <a:off x="8201025" y="58959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11</xdr:col>
      <xdr:colOff>85725</xdr:colOff>
      <xdr:row>25</xdr:row>
      <xdr:rowOff>57150</xdr:rowOff>
    </xdr:from>
    <xdr:to>
      <xdr:col>12</xdr:col>
      <xdr:colOff>619125</xdr:colOff>
      <xdr:row>30</xdr:row>
      <xdr:rowOff>98013</xdr:rowOff>
    </xdr:to>
    <xdr:pic>
      <xdr:nvPicPr>
        <xdr:cNvPr id="9" name="Imagen 8" descr="Resultado de imagen para flechas de flujo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0001" t="7430" r="20615" b="20463"/>
        <a:stretch/>
      </xdr:blipFill>
      <xdr:spPr bwMode="auto">
        <a:xfrm>
          <a:off x="8467725" y="4886325"/>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30</xdr:row>
      <xdr:rowOff>104775</xdr:rowOff>
    </xdr:from>
    <xdr:to>
      <xdr:col>15</xdr:col>
      <xdr:colOff>285750</xdr:colOff>
      <xdr:row>32</xdr:row>
      <xdr:rowOff>9525</xdr:rowOff>
    </xdr:to>
    <xdr:sp macro="" textlink="">
      <xdr:nvSpPr>
        <xdr:cNvPr id="10" name="Rectángulo redondeado 9">
          <a:hlinkClick xmlns:r="http://schemas.openxmlformats.org/officeDocument/2006/relationships" r:id="rId9"/>
        </xdr:cNvPr>
        <xdr:cNvSpPr/>
      </xdr:nvSpPr>
      <xdr:spPr>
        <a:xfrm>
          <a:off x="10067925" y="58864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13</xdr:col>
      <xdr:colOff>609600</xdr:colOff>
      <xdr:row>25</xdr:row>
      <xdr:rowOff>84579</xdr:rowOff>
    </xdr:from>
    <xdr:to>
      <xdr:col>14</xdr:col>
      <xdr:colOff>581024</xdr:colOff>
      <xdr:row>29</xdr:row>
      <xdr:rowOff>171449</xdr:rowOff>
    </xdr:to>
    <xdr:pic>
      <xdr:nvPicPr>
        <xdr:cNvPr id="11" name="Imagen 10" descr="Resultado de imagen para balanza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515600" y="4913754"/>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209550</xdr:colOff>
      <xdr:row>31</xdr:row>
      <xdr:rowOff>0</xdr:rowOff>
    </xdr:from>
    <xdr:to>
      <xdr:col>2</xdr:col>
      <xdr:colOff>333375</xdr:colOff>
      <xdr:row>32</xdr:row>
      <xdr:rowOff>95250</xdr:rowOff>
    </xdr:to>
    <xdr:sp macro="" textlink="">
      <xdr:nvSpPr>
        <xdr:cNvPr id="12" name="Rectángulo redondeado 11">
          <a:hlinkClick xmlns:r="http://schemas.openxmlformats.org/officeDocument/2006/relationships" r:id="rId11"/>
        </xdr:cNvPr>
        <xdr:cNvSpPr/>
      </xdr:nvSpPr>
      <xdr:spPr>
        <a:xfrm>
          <a:off x="8591550" y="15906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428625</xdr:colOff>
      <xdr:row>24</xdr:row>
      <xdr:rowOff>58869</xdr:rowOff>
    </xdr:from>
    <xdr:to>
      <xdr:col>2</xdr:col>
      <xdr:colOff>76199</xdr:colOff>
      <xdr:row>30</xdr:row>
      <xdr:rowOff>47438</xdr:rowOff>
    </xdr:to>
    <xdr:pic>
      <xdr:nvPicPr>
        <xdr:cNvPr id="13" name="Imagen 12" descr="Resultado de imagen para docs animados">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6981" t="5000" r="18554" b="29000"/>
        <a:stretch/>
      </xdr:blipFill>
      <xdr:spPr bwMode="auto">
        <a:xfrm>
          <a:off x="8810625" y="306519"/>
          <a:ext cx="1171574" cy="113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3</xdr:col>
      <xdr:colOff>723900</xdr:colOff>
      <xdr:row>35</xdr:row>
      <xdr:rowOff>180975</xdr:rowOff>
    </xdr:from>
    <xdr:to>
      <xdr:col>6</xdr:col>
      <xdr:colOff>85725</xdr:colOff>
      <xdr:row>37</xdr:row>
      <xdr:rowOff>85725</xdr:rowOff>
    </xdr:to>
    <xdr:sp macro="" textlink="">
      <xdr:nvSpPr>
        <xdr:cNvPr id="2" name="Rectángulo redondeado 1">
          <a:hlinkClick xmlns:r="http://schemas.openxmlformats.org/officeDocument/2006/relationships" r:id="rId1"/>
        </xdr:cNvPr>
        <xdr:cNvSpPr/>
      </xdr:nvSpPr>
      <xdr:spPr>
        <a:xfrm>
          <a:off x="2247900" y="59626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4</xdr:col>
      <xdr:colOff>257175</xdr:colOff>
      <xdr:row>29</xdr:row>
      <xdr:rowOff>114300</xdr:rowOff>
    </xdr:from>
    <xdr:to>
      <xdr:col>5</xdr:col>
      <xdr:colOff>542925</xdr:colOff>
      <xdr:row>35</xdr:row>
      <xdr:rowOff>19050</xdr:rowOff>
    </xdr:to>
    <xdr:pic>
      <xdr:nvPicPr>
        <xdr:cNvPr id="3" name="Imagen 2" descr="Resultado de imagen para portapapeles animad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43175" y="47529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6</xdr:col>
      <xdr:colOff>466725</xdr:colOff>
      <xdr:row>35</xdr:row>
      <xdr:rowOff>171450</xdr:rowOff>
    </xdr:from>
    <xdr:to>
      <xdr:col>8</xdr:col>
      <xdr:colOff>590550</xdr:colOff>
      <xdr:row>37</xdr:row>
      <xdr:rowOff>76200</xdr:rowOff>
    </xdr:to>
    <xdr:sp macro="" textlink="">
      <xdr:nvSpPr>
        <xdr:cNvPr id="4" name="Rectángulo redondeado 3">
          <a:hlinkClick xmlns:r="http://schemas.openxmlformats.org/officeDocument/2006/relationships" r:id="rId3"/>
        </xdr:cNvPr>
        <xdr:cNvSpPr/>
      </xdr:nvSpPr>
      <xdr:spPr>
        <a:xfrm>
          <a:off x="4276725" y="59531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6</xdr:col>
      <xdr:colOff>533400</xdr:colOff>
      <xdr:row>29</xdr:row>
      <xdr:rowOff>6766</xdr:rowOff>
    </xdr:from>
    <xdr:to>
      <xdr:col>8</xdr:col>
      <xdr:colOff>390525</xdr:colOff>
      <xdr:row>34</xdr:row>
      <xdr:rowOff>133349</xdr:rowOff>
    </xdr:to>
    <xdr:pic>
      <xdr:nvPicPr>
        <xdr:cNvPr id="5" name="Imagen 4" descr="Resultado de imagen para datos animada">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605" t="16182" r="5825" b="16181"/>
        <a:stretch/>
      </xdr:blipFill>
      <xdr:spPr bwMode="auto">
        <a:xfrm>
          <a:off x="4343400" y="46454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9</xdr:col>
      <xdr:colOff>381000</xdr:colOff>
      <xdr:row>35</xdr:row>
      <xdr:rowOff>66674</xdr:rowOff>
    </xdr:from>
    <xdr:to>
      <xdr:col>11</xdr:col>
      <xdr:colOff>152400</xdr:colOff>
      <xdr:row>38</xdr:row>
      <xdr:rowOff>0</xdr:rowOff>
    </xdr:to>
    <xdr:sp macro="" textlink="">
      <xdr:nvSpPr>
        <xdr:cNvPr id="6" name="Rectángulo redondeado 5">
          <a:hlinkClick xmlns:r="http://schemas.openxmlformats.org/officeDocument/2006/relationships" r:id="rId5"/>
        </xdr:cNvPr>
        <xdr:cNvSpPr/>
      </xdr:nvSpPr>
      <xdr:spPr>
        <a:xfrm>
          <a:off x="6477000" y="5848349"/>
          <a:ext cx="1295400" cy="50482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9</xdr:col>
      <xdr:colOff>304801</xdr:colOff>
      <xdr:row>30</xdr:row>
      <xdr:rowOff>57150</xdr:rowOff>
    </xdr:from>
    <xdr:to>
      <xdr:col>10</xdr:col>
      <xdr:colOff>714375</xdr:colOff>
      <xdr:row>34</xdr:row>
      <xdr:rowOff>35978</xdr:rowOff>
    </xdr:to>
    <xdr:pic>
      <xdr:nvPicPr>
        <xdr:cNvPr id="7" name="Imagen 6" descr="Resultados, tipografÃ­a animada â  Fotos de Stock">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311" t="12933" r="9540" b="24311"/>
        <a:stretch/>
      </xdr:blipFill>
      <xdr:spPr bwMode="auto">
        <a:xfrm>
          <a:off x="6400801" y="4886325"/>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11</xdr:col>
      <xdr:colOff>581025</xdr:colOff>
      <xdr:row>35</xdr:row>
      <xdr:rowOff>114300</xdr:rowOff>
    </xdr:from>
    <xdr:to>
      <xdr:col>13</xdr:col>
      <xdr:colOff>704850</xdr:colOff>
      <xdr:row>37</xdr:row>
      <xdr:rowOff>19050</xdr:rowOff>
    </xdr:to>
    <xdr:sp macro="" textlink="">
      <xdr:nvSpPr>
        <xdr:cNvPr id="8" name="Rectángulo redondeado 7">
          <a:hlinkClick xmlns:r="http://schemas.openxmlformats.org/officeDocument/2006/relationships" r:id="rId7"/>
        </xdr:cNvPr>
        <xdr:cNvSpPr/>
      </xdr:nvSpPr>
      <xdr:spPr>
        <a:xfrm>
          <a:off x="8201025" y="58959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12</xdr:col>
      <xdr:colOff>85725</xdr:colOff>
      <xdr:row>30</xdr:row>
      <xdr:rowOff>57150</xdr:rowOff>
    </xdr:from>
    <xdr:to>
      <xdr:col>13</xdr:col>
      <xdr:colOff>619125</xdr:colOff>
      <xdr:row>35</xdr:row>
      <xdr:rowOff>98013</xdr:rowOff>
    </xdr:to>
    <xdr:pic>
      <xdr:nvPicPr>
        <xdr:cNvPr id="9" name="Imagen 8" descr="Resultado de imagen para flechas de flujo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0001" t="7430" r="20615" b="20463"/>
        <a:stretch/>
      </xdr:blipFill>
      <xdr:spPr bwMode="auto">
        <a:xfrm>
          <a:off x="8467725" y="4886325"/>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161925</xdr:colOff>
      <xdr:row>35</xdr:row>
      <xdr:rowOff>104775</xdr:rowOff>
    </xdr:from>
    <xdr:to>
      <xdr:col>16</xdr:col>
      <xdr:colOff>285750</xdr:colOff>
      <xdr:row>37</xdr:row>
      <xdr:rowOff>9525</xdr:rowOff>
    </xdr:to>
    <xdr:sp macro="" textlink="">
      <xdr:nvSpPr>
        <xdr:cNvPr id="10" name="Rectángulo redondeado 9">
          <a:hlinkClick xmlns:r="http://schemas.openxmlformats.org/officeDocument/2006/relationships" r:id="rId9"/>
        </xdr:cNvPr>
        <xdr:cNvSpPr/>
      </xdr:nvSpPr>
      <xdr:spPr>
        <a:xfrm>
          <a:off x="10067925" y="58864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14</xdr:col>
      <xdr:colOff>609600</xdr:colOff>
      <xdr:row>30</xdr:row>
      <xdr:rowOff>84579</xdr:rowOff>
    </xdr:from>
    <xdr:to>
      <xdr:col>15</xdr:col>
      <xdr:colOff>581024</xdr:colOff>
      <xdr:row>34</xdr:row>
      <xdr:rowOff>171449</xdr:rowOff>
    </xdr:to>
    <xdr:pic>
      <xdr:nvPicPr>
        <xdr:cNvPr id="11" name="Imagen 10" descr="Resultado de imagen para balanza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515600" y="4913754"/>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209550</xdr:colOff>
      <xdr:row>36</xdr:row>
      <xdr:rowOff>0</xdr:rowOff>
    </xdr:from>
    <xdr:to>
      <xdr:col>3</xdr:col>
      <xdr:colOff>333375</xdr:colOff>
      <xdr:row>37</xdr:row>
      <xdr:rowOff>95250</xdr:rowOff>
    </xdr:to>
    <xdr:sp macro="" textlink="">
      <xdr:nvSpPr>
        <xdr:cNvPr id="12" name="Rectángulo redondeado 11">
          <a:hlinkClick xmlns:r="http://schemas.openxmlformats.org/officeDocument/2006/relationships" r:id="rId11"/>
        </xdr:cNvPr>
        <xdr:cNvSpPr/>
      </xdr:nvSpPr>
      <xdr:spPr>
        <a:xfrm>
          <a:off x="209550" y="59721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1</xdr:col>
      <xdr:colOff>428625</xdr:colOff>
      <xdr:row>29</xdr:row>
      <xdr:rowOff>58869</xdr:rowOff>
    </xdr:from>
    <xdr:to>
      <xdr:col>3</xdr:col>
      <xdr:colOff>76199</xdr:colOff>
      <xdr:row>35</xdr:row>
      <xdr:rowOff>47438</xdr:rowOff>
    </xdr:to>
    <xdr:pic>
      <xdr:nvPicPr>
        <xdr:cNvPr id="13" name="Imagen 12" descr="Resultado de imagen para docs animados">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6981" t="5000" r="18554" b="29000"/>
        <a:stretch/>
      </xdr:blipFill>
      <xdr:spPr bwMode="auto">
        <a:xfrm>
          <a:off x="428625" y="4697544"/>
          <a:ext cx="1171574" cy="113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723900</xdr:colOff>
      <xdr:row>37</xdr:row>
      <xdr:rowOff>180975</xdr:rowOff>
    </xdr:from>
    <xdr:to>
      <xdr:col>5</xdr:col>
      <xdr:colOff>85725</xdr:colOff>
      <xdr:row>39</xdr:row>
      <xdr:rowOff>85725</xdr:rowOff>
    </xdr:to>
    <xdr:sp macro="" textlink="">
      <xdr:nvSpPr>
        <xdr:cNvPr id="2" name="Rectángulo redondeado 1">
          <a:hlinkClick xmlns:r="http://schemas.openxmlformats.org/officeDocument/2006/relationships" r:id="rId1"/>
        </xdr:cNvPr>
        <xdr:cNvSpPr/>
      </xdr:nvSpPr>
      <xdr:spPr>
        <a:xfrm>
          <a:off x="2247900" y="59626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257175</xdr:colOff>
      <xdr:row>31</xdr:row>
      <xdr:rowOff>114300</xdr:rowOff>
    </xdr:from>
    <xdr:to>
      <xdr:col>4</xdr:col>
      <xdr:colOff>542925</xdr:colOff>
      <xdr:row>37</xdr:row>
      <xdr:rowOff>19050</xdr:rowOff>
    </xdr:to>
    <xdr:pic>
      <xdr:nvPicPr>
        <xdr:cNvPr id="3" name="Imagen 2" descr="Resultado de imagen para portapapeles animad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43175" y="47529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466725</xdr:colOff>
      <xdr:row>37</xdr:row>
      <xdr:rowOff>171450</xdr:rowOff>
    </xdr:from>
    <xdr:to>
      <xdr:col>7</xdr:col>
      <xdr:colOff>590550</xdr:colOff>
      <xdr:row>39</xdr:row>
      <xdr:rowOff>76200</xdr:rowOff>
    </xdr:to>
    <xdr:sp macro="" textlink="">
      <xdr:nvSpPr>
        <xdr:cNvPr id="4" name="Rectángulo redondeado 3">
          <a:hlinkClick xmlns:r="http://schemas.openxmlformats.org/officeDocument/2006/relationships" r:id="rId3"/>
        </xdr:cNvPr>
        <xdr:cNvSpPr/>
      </xdr:nvSpPr>
      <xdr:spPr>
        <a:xfrm>
          <a:off x="4276725" y="59531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533400</xdr:colOff>
      <xdr:row>31</xdr:row>
      <xdr:rowOff>6766</xdr:rowOff>
    </xdr:from>
    <xdr:to>
      <xdr:col>7</xdr:col>
      <xdr:colOff>390525</xdr:colOff>
      <xdr:row>36</xdr:row>
      <xdr:rowOff>133349</xdr:rowOff>
    </xdr:to>
    <xdr:pic>
      <xdr:nvPicPr>
        <xdr:cNvPr id="5" name="Imagen 4" descr="Resultado de imagen para datos animada">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605" t="16182" r="5825" b="16181"/>
        <a:stretch/>
      </xdr:blipFill>
      <xdr:spPr bwMode="auto">
        <a:xfrm>
          <a:off x="4343400" y="46454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381000</xdr:colOff>
      <xdr:row>37</xdr:row>
      <xdr:rowOff>66674</xdr:rowOff>
    </xdr:from>
    <xdr:to>
      <xdr:col>10</xdr:col>
      <xdr:colOff>152400</xdr:colOff>
      <xdr:row>40</xdr:row>
      <xdr:rowOff>0</xdr:rowOff>
    </xdr:to>
    <xdr:sp macro="" textlink="">
      <xdr:nvSpPr>
        <xdr:cNvPr id="6" name="Rectángulo redondeado 5">
          <a:hlinkClick xmlns:r="http://schemas.openxmlformats.org/officeDocument/2006/relationships" r:id="rId5"/>
        </xdr:cNvPr>
        <xdr:cNvSpPr/>
      </xdr:nvSpPr>
      <xdr:spPr>
        <a:xfrm>
          <a:off x="6477000" y="5848349"/>
          <a:ext cx="1295400" cy="50482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8</xdr:col>
      <xdr:colOff>304801</xdr:colOff>
      <xdr:row>32</xdr:row>
      <xdr:rowOff>57150</xdr:rowOff>
    </xdr:from>
    <xdr:to>
      <xdr:col>10</xdr:col>
      <xdr:colOff>219075</xdr:colOff>
      <xdr:row>36</xdr:row>
      <xdr:rowOff>35978</xdr:rowOff>
    </xdr:to>
    <xdr:pic>
      <xdr:nvPicPr>
        <xdr:cNvPr id="7" name="Imagen 6" descr="Resultados, tipografÃ­a animada â  Fotos de Stock">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311" t="12933" r="9540" b="24311"/>
        <a:stretch/>
      </xdr:blipFill>
      <xdr:spPr bwMode="auto">
        <a:xfrm>
          <a:off x="6400801" y="4886325"/>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581025</xdr:colOff>
      <xdr:row>37</xdr:row>
      <xdr:rowOff>114300</xdr:rowOff>
    </xdr:from>
    <xdr:to>
      <xdr:col>12</xdr:col>
      <xdr:colOff>704850</xdr:colOff>
      <xdr:row>39</xdr:row>
      <xdr:rowOff>19050</xdr:rowOff>
    </xdr:to>
    <xdr:sp macro="" textlink="">
      <xdr:nvSpPr>
        <xdr:cNvPr id="8" name="Rectángulo redondeado 7">
          <a:hlinkClick xmlns:r="http://schemas.openxmlformats.org/officeDocument/2006/relationships" r:id="rId7"/>
        </xdr:cNvPr>
        <xdr:cNvSpPr/>
      </xdr:nvSpPr>
      <xdr:spPr>
        <a:xfrm>
          <a:off x="8201025" y="58959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11</xdr:col>
      <xdr:colOff>85725</xdr:colOff>
      <xdr:row>32</xdr:row>
      <xdr:rowOff>57150</xdr:rowOff>
    </xdr:from>
    <xdr:to>
      <xdr:col>12</xdr:col>
      <xdr:colOff>619125</xdr:colOff>
      <xdr:row>37</xdr:row>
      <xdr:rowOff>98013</xdr:rowOff>
    </xdr:to>
    <xdr:pic>
      <xdr:nvPicPr>
        <xdr:cNvPr id="9" name="Imagen 8" descr="Resultado de imagen para flechas de flujo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0001" t="7430" r="20615" b="20463"/>
        <a:stretch/>
      </xdr:blipFill>
      <xdr:spPr bwMode="auto">
        <a:xfrm>
          <a:off x="8467725" y="4886325"/>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37</xdr:row>
      <xdr:rowOff>104775</xdr:rowOff>
    </xdr:from>
    <xdr:to>
      <xdr:col>15</xdr:col>
      <xdr:colOff>285750</xdr:colOff>
      <xdr:row>39</xdr:row>
      <xdr:rowOff>9525</xdr:rowOff>
    </xdr:to>
    <xdr:sp macro="" textlink="">
      <xdr:nvSpPr>
        <xdr:cNvPr id="10" name="Rectángulo redondeado 9">
          <a:hlinkClick xmlns:r="http://schemas.openxmlformats.org/officeDocument/2006/relationships" r:id="rId9"/>
        </xdr:cNvPr>
        <xdr:cNvSpPr/>
      </xdr:nvSpPr>
      <xdr:spPr>
        <a:xfrm>
          <a:off x="10067925" y="58864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13</xdr:col>
      <xdr:colOff>609600</xdr:colOff>
      <xdr:row>32</xdr:row>
      <xdr:rowOff>84579</xdr:rowOff>
    </xdr:from>
    <xdr:to>
      <xdr:col>14</xdr:col>
      <xdr:colOff>581024</xdr:colOff>
      <xdr:row>36</xdr:row>
      <xdr:rowOff>171449</xdr:rowOff>
    </xdr:to>
    <xdr:pic>
      <xdr:nvPicPr>
        <xdr:cNvPr id="11" name="Imagen 10" descr="Resultado de imagen para balanza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515600" y="4913754"/>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209550</xdr:colOff>
      <xdr:row>38</xdr:row>
      <xdr:rowOff>0</xdr:rowOff>
    </xdr:from>
    <xdr:to>
      <xdr:col>2</xdr:col>
      <xdr:colOff>333375</xdr:colOff>
      <xdr:row>39</xdr:row>
      <xdr:rowOff>95250</xdr:rowOff>
    </xdr:to>
    <xdr:sp macro="" textlink="">
      <xdr:nvSpPr>
        <xdr:cNvPr id="12" name="Rectángulo redondeado 11">
          <a:hlinkClick xmlns:r="http://schemas.openxmlformats.org/officeDocument/2006/relationships" r:id="rId11"/>
        </xdr:cNvPr>
        <xdr:cNvSpPr/>
      </xdr:nvSpPr>
      <xdr:spPr>
        <a:xfrm>
          <a:off x="209550" y="59721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428625</xdr:colOff>
      <xdr:row>31</xdr:row>
      <xdr:rowOff>58869</xdr:rowOff>
    </xdr:from>
    <xdr:to>
      <xdr:col>2</xdr:col>
      <xdr:colOff>76199</xdr:colOff>
      <xdr:row>37</xdr:row>
      <xdr:rowOff>47438</xdr:rowOff>
    </xdr:to>
    <xdr:pic>
      <xdr:nvPicPr>
        <xdr:cNvPr id="13" name="Imagen 12" descr="Resultado de imagen para docs animados">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6981" t="5000" r="18554" b="29000"/>
        <a:stretch/>
      </xdr:blipFill>
      <xdr:spPr bwMode="auto">
        <a:xfrm>
          <a:off x="428625" y="4697544"/>
          <a:ext cx="1171574" cy="113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2</xdr:col>
      <xdr:colOff>723900</xdr:colOff>
      <xdr:row>42</xdr:row>
      <xdr:rowOff>180975</xdr:rowOff>
    </xdr:from>
    <xdr:to>
      <xdr:col>5</xdr:col>
      <xdr:colOff>85725</xdr:colOff>
      <xdr:row>44</xdr:row>
      <xdr:rowOff>85725</xdr:rowOff>
    </xdr:to>
    <xdr:sp macro="" textlink="">
      <xdr:nvSpPr>
        <xdr:cNvPr id="2" name="Rectángulo redondeado 1">
          <a:hlinkClick xmlns:r="http://schemas.openxmlformats.org/officeDocument/2006/relationships" r:id="rId1"/>
        </xdr:cNvPr>
        <xdr:cNvSpPr/>
      </xdr:nvSpPr>
      <xdr:spPr>
        <a:xfrm>
          <a:off x="2247900" y="59626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Fundamentación</a:t>
          </a:r>
        </a:p>
      </xdr:txBody>
    </xdr:sp>
    <xdr:clientData/>
  </xdr:twoCellAnchor>
  <xdr:twoCellAnchor editAs="oneCell">
    <xdr:from>
      <xdr:col>3</xdr:col>
      <xdr:colOff>257175</xdr:colOff>
      <xdr:row>36</xdr:row>
      <xdr:rowOff>114300</xdr:rowOff>
    </xdr:from>
    <xdr:to>
      <xdr:col>4</xdr:col>
      <xdr:colOff>542925</xdr:colOff>
      <xdr:row>42</xdr:row>
      <xdr:rowOff>19050</xdr:rowOff>
    </xdr:to>
    <xdr:pic>
      <xdr:nvPicPr>
        <xdr:cNvPr id="3" name="Imagen 2" descr="Resultado de imagen para portapapeles animada">
          <a:hlinkClick xmlns:r="http://schemas.openxmlformats.org/officeDocument/2006/relationships" r:id="rId1"/>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543175" y="4752975"/>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5</xdr:col>
      <xdr:colOff>466725</xdr:colOff>
      <xdr:row>42</xdr:row>
      <xdr:rowOff>171450</xdr:rowOff>
    </xdr:from>
    <xdr:to>
      <xdr:col>7</xdr:col>
      <xdr:colOff>590550</xdr:colOff>
      <xdr:row>44</xdr:row>
      <xdr:rowOff>76200</xdr:rowOff>
    </xdr:to>
    <xdr:sp macro="" textlink="">
      <xdr:nvSpPr>
        <xdr:cNvPr id="4" name="Rectángulo redondeado 3">
          <a:hlinkClick xmlns:r="http://schemas.openxmlformats.org/officeDocument/2006/relationships" r:id="rId3"/>
        </xdr:cNvPr>
        <xdr:cNvSpPr/>
      </xdr:nvSpPr>
      <xdr:spPr>
        <a:xfrm>
          <a:off x="4276725" y="595312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Datos</a:t>
          </a:r>
        </a:p>
      </xdr:txBody>
    </xdr:sp>
    <xdr:clientData/>
  </xdr:twoCellAnchor>
  <xdr:twoCellAnchor editAs="oneCell">
    <xdr:from>
      <xdr:col>5</xdr:col>
      <xdr:colOff>533400</xdr:colOff>
      <xdr:row>36</xdr:row>
      <xdr:rowOff>6766</xdr:rowOff>
    </xdr:from>
    <xdr:to>
      <xdr:col>7</xdr:col>
      <xdr:colOff>390525</xdr:colOff>
      <xdr:row>41</xdr:row>
      <xdr:rowOff>133349</xdr:rowOff>
    </xdr:to>
    <xdr:pic>
      <xdr:nvPicPr>
        <xdr:cNvPr id="5" name="Imagen 4" descr="Resultado de imagen para datos animada">
          <a:hlinkClick xmlns:r="http://schemas.openxmlformats.org/officeDocument/2006/relationships" r:id="rId3"/>
        </xdr:cNvPr>
        <xdr:cNvPicPr>
          <a:picLocks noChangeAspect="1" noChangeArrowheads="1"/>
        </xdr:cNvPicPr>
      </xdr:nvPicPr>
      <xdr:blipFill rotWithShape="1">
        <a:blip xmlns:r="http://schemas.openxmlformats.org/officeDocument/2006/relationships" r:embed="rId4" cstate="print">
          <a:extLst>
            <a:ext uri="{28A0092B-C50C-407E-A947-70E740481C1C}">
              <a14:useLocalDpi xmlns:a14="http://schemas.microsoft.com/office/drawing/2010/main" val="0"/>
            </a:ext>
          </a:extLst>
        </a:blip>
        <a:srcRect l="7605" t="16182" r="5825" b="16181"/>
        <a:stretch/>
      </xdr:blipFill>
      <xdr:spPr bwMode="auto">
        <a:xfrm>
          <a:off x="4343400" y="4645441"/>
          <a:ext cx="1381125" cy="10790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8</xdr:col>
      <xdr:colOff>381000</xdr:colOff>
      <xdr:row>42</xdr:row>
      <xdr:rowOff>66674</xdr:rowOff>
    </xdr:from>
    <xdr:to>
      <xdr:col>10</xdr:col>
      <xdr:colOff>152400</xdr:colOff>
      <xdr:row>45</xdr:row>
      <xdr:rowOff>0</xdr:rowOff>
    </xdr:to>
    <xdr:sp macro="" textlink="">
      <xdr:nvSpPr>
        <xdr:cNvPr id="6" name="Rectángulo redondeado 5">
          <a:hlinkClick xmlns:r="http://schemas.openxmlformats.org/officeDocument/2006/relationships" r:id="rId5"/>
        </xdr:cNvPr>
        <xdr:cNvSpPr/>
      </xdr:nvSpPr>
      <xdr:spPr>
        <a:xfrm>
          <a:off x="6477000" y="5848349"/>
          <a:ext cx="1295400" cy="504826"/>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Esta</a:t>
          </a:r>
          <a:r>
            <a:rPr lang="es-MX" sz="1200" b="1" baseline="0">
              <a:solidFill>
                <a:schemeClr val="accent1">
                  <a:lumMod val="50000"/>
                </a:schemeClr>
              </a:solidFill>
              <a:latin typeface="Courier New" panose="02070309020205020404" pitchFamily="49" charset="0"/>
              <a:cs typeface="Courier New" panose="02070309020205020404" pitchFamily="49" charset="0"/>
            </a:rPr>
            <a:t>do de Resultados</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8</xdr:col>
      <xdr:colOff>304801</xdr:colOff>
      <xdr:row>37</xdr:row>
      <xdr:rowOff>57150</xdr:rowOff>
    </xdr:from>
    <xdr:to>
      <xdr:col>10</xdr:col>
      <xdr:colOff>219075</xdr:colOff>
      <xdr:row>41</xdr:row>
      <xdr:rowOff>35978</xdr:rowOff>
    </xdr:to>
    <xdr:pic>
      <xdr:nvPicPr>
        <xdr:cNvPr id="7" name="Imagen 6" descr="Resultados, tipografÃ­a animada â  Fotos de Stock">
          <a:hlinkClick xmlns:r="http://schemas.openxmlformats.org/officeDocument/2006/relationships" r:id="rId5"/>
        </xdr:cNvPr>
        <xdr:cNvPicPr>
          <a:picLocks noChangeAspect="1" noChangeArrowheads="1"/>
        </xdr:cNvPicPr>
      </xdr:nvPicPr>
      <xdr:blipFill rotWithShape="1">
        <a:blip xmlns:r="http://schemas.openxmlformats.org/officeDocument/2006/relationships" r:embed="rId6" cstate="print">
          <a:extLst>
            <a:ext uri="{28A0092B-C50C-407E-A947-70E740481C1C}">
              <a14:useLocalDpi xmlns:a14="http://schemas.microsoft.com/office/drawing/2010/main" val="0"/>
            </a:ext>
          </a:extLst>
        </a:blip>
        <a:srcRect l="14311" t="12933" r="9540" b="24311"/>
        <a:stretch/>
      </xdr:blipFill>
      <xdr:spPr bwMode="auto">
        <a:xfrm>
          <a:off x="6400801" y="4886325"/>
          <a:ext cx="1438274" cy="7408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581025</xdr:colOff>
      <xdr:row>42</xdr:row>
      <xdr:rowOff>114300</xdr:rowOff>
    </xdr:from>
    <xdr:to>
      <xdr:col>12</xdr:col>
      <xdr:colOff>704850</xdr:colOff>
      <xdr:row>44</xdr:row>
      <xdr:rowOff>19050</xdr:rowOff>
    </xdr:to>
    <xdr:sp macro="" textlink="">
      <xdr:nvSpPr>
        <xdr:cNvPr id="8" name="Rectángulo redondeado 7">
          <a:hlinkClick xmlns:r="http://schemas.openxmlformats.org/officeDocument/2006/relationships" r:id="rId7"/>
        </xdr:cNvPr>
        <xdr:cNvSpPr/>
      </xdr:nvSpPr>
      <xdr:spPr>
        <a:xfrm>
          <a:off x="8201025" y="58959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FNE</a:t>
          </a:r>
        </a:p>
      </xdr:txBody>
    </xdr:sp>
    <xdr:clientData/>
  </xdr:twoCellAnchor>
  <xdr:twoCellAnchor editAs="oneCell">
    <xdr:from>
      <xdr:col>11</xdr:col>
      <xdr:colOff>85725</xdr:colOff>
      <xdr:row>37</xdr:row>
      <xdr:rowOff>57150</xdr:rowOff>
    </xdr:from>
    <xdr:to>
      <xdr:col>12</xdr:col>
      <xdr:colOff>619125</xdr:colOff>
      <xdr:row>42</xdr:row>
      <xdr:rowOff>98013</xdr:rowOff>
    </xdr:to>
    <xdr:pic>
      <xdr:nvPicPr>
        <xdr:cNvPr id="9" name="Imagen 8" descr="Resultado de imagen para flechas de flujo animada">
          <a:hlinkClick xmlns:r="http://schemas.openxmlformats.org/officeDocument/2006/relationships" r:id="rId7"/>
        </xdr:cNvPr>
        <xdr:cNvPicPr>
          <a:picLocks noChangeAspect="1" noChangeArrowheads="1"/>
        </xdr:cNvPicPr>
      </xdr:nvPicPr>
      <xdr:blipFill rotWithShape="1">
        <a:blip xmlns:r="http://schemas.openxmlformats.org/officeDocument/2006/relationships" r:embed="rId8" cstate="print">
          <a:extLst>
            <a:ext uri="{28A0092B-C50C-407E-A947-70E740481C1C}">
              <a14:useLocalDpi xmlns:a14="http://schemas.microsoft.com/office/drawing/2010/main" val="0"/>
            </a:ext>
          </a:extLst>
        </a:blip>
        <a:srcRect l="20001" t="7430" r="20615" b="20463"/>
        <a:stretch/>
      </xdr:blipFill>
      <xdr:spPr bwMode="auto">
        <a:xfrm>
          <a:off x="8467725" y="4886325"/>
          <a:ext cx="1295400" cy="99336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42</xdr:row>
      <xdr:rowOff>104775</xdr:rowOff>
    </xdr:from>
    <xdr:to>
      <xdr:col>15</xdr:col>
      <xdr:colOff>285750</xdr:colOff>
      <xdr:row>44</xdr:row>
      <xdr:rowOff>9525</xdr:rowOff>
    </xdr:to>
    <xdr:sp macro="" textlink="">
      <xdr:nvSpPr>
        <xdr:cNvPr id="10" name="Rectángulo redondeado 9">
          <a:hlinkClick xmlns:r="http://schemas.openxmlformats.org/officeDocument/2006/relationships" r:id="rId9"/>
        </xdr:cNvPr>
        <xdr:cNvSpPr/>
      </xdr:nvSpPr>
      <xdr:spPr>
        <a:xfrm>
          <a:off x="10067925" y="5886450"/>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Balance</a:t>
          </a:r>
          <a:r>
            <a:rPr lang="es-MX" sz="1200" b="1" baseline="0">
              <a:solidFill>
                <a:schemeClr val="accent1">
                  <a:lumMod val="50000"/>
                </a:schemeClr>
              </a:solidFill>
              <a:latin typeface="Courier New" panose="02070309020205020404" pitchFamily="49" charset="0"/>
              <a:cs typeface="Courier New" panose="02070309020205020404" pitchFamily="49" charset="0"/>
            </a:rPr>
            <a:t> General</a:t>
          </a:r>
          <a:endParaRPr lang="es-MX" sz="1200" b="1">
            <a:solidFill>
              <a:schemeClr val="accent1">
                <a:lumMod val="50000"/>
              </a:schemeClr>
            </a:solidFill>
            <a:latin typeface="Courier New" panose="02070309020205020404" pitchFamily="49" charset="0"/>
            <a:cs typeface="Courier New" panose="02070309020205020404" pitchFamily="49" charset="0"/>
          </a:endParaRPr>
        </a:p>
      </xdr:txBody>
    </xdr:sp>
    <xdr:clientData/>
  </xdr:twoCellAnchor>
  <xdr:twoCellAnchor editAs="oneCell">
    <xdr:from>
      <xdr:col>13</xdr:col>
      <xdr:colOff>609600</xdr:colOff>
      <xdr:row>37</xdr:row>
      <xdr:rowOff>84579</xdr:rowOff>
    </xdr:from>
    <xdr:to>
      <xdr:col>14</xdr:col>
      <xdr:colOff>581024</xdr:colOff>
      <xdr:row>41</xdr:row>
      <xdr:rowOff>171449</xdr:rowOff>
    </xdr:to>
    <xdr:pic>
      <xdr:nvPicPr>
        <xdr:cNvPr id="11" name="Imagen 10" descr="Resultado de imagen para balanza animada">
          <a:hlinkClick xmlns:r="http://schemas.openxmlformats.org/officeDocument/2006/relationships" r:id="rId9"/>
        </xdr:cNvPr>
        <xdr:cNvPicPr>
          <a:picLocks noChangeAspect="1" noChangeArrowheads="1"/>
        </xdr:cNvPicPr>
      </xdr:nvPicPr>
      <xdr:blipFill>
        <a:blip xmlns:r="http://schemas.openxmlformats.org/officeDocument/2006/relationships" r:embed="rId10" cstate="print">
          <a:extLst>
            <a:ext uri="{28A0092B-C50C-407E-A947-70E740481C1C}">
              <a14:useLocalDpi xmlns:a14="http://schemas.microsoft.com/office/drawing/2010/main" val="0"/>
            </a:ext>
          </a:extLst>
        </a:blip>
        <a:srcRect/>
        <a:stretch>
          <a:fillRect/>
        </a:stretch>
      </xdr:blipFill>
      <xdr:spPr bwMode="auto">
        <a:xfrm>
          <a:off x="10515600" y="4913754"/>
          <a:ext cx="733424" cy="848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209550</xdr:colOff>
      <xdr:row>43</xdr:row>
      <xdr:rowOff>0</xdr:rowOff>
    </xdr:from>
    <xdr:to>
      <xdr:col>2</xdr:col>
      <xdr:colOff>333375</xdr:colOff>
      <xdr:row>44</xdr:row>
      <xdr:rowOff>95250</xdr:rowOff>
    </xdr:to>
    <xdr:sp macro="" textlink="">
      <xdr:nvSpPr>
        <xdr:cNvPr id="12" name="Rectángulo redondeado 11">
          <a:hlinkClick xmlns:r="http://schemas.openxmlformats.org/officeDocument/2006/relationships" r:id="rId11"/>
        </xdr:cNvPr>
        <xdr:cNvSpPr/>
      </xdr:nvSpPr>
      <xdr:spPr>
        <a:xfrm>
          <a:off x="209550" y="5972175"/>
          <a:ext cx="1647825" cy="285750"/>
        </a:xfrm>
        <a:prstGeom prst="round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MX" sz="1200" b="1">
              <a:solidFill>
                <a:schemeClr val="accent1">
                  <a:lumMod val="50000"/>
                </a:schemeClr>
              </a:solidFill>
              <a:latin typeface="Courier New" panose="02070309020205020404" pitchFamily="49" charset="0"/>
              <a:cs typeface="Courier New" panose="02070309020205020404" pitchFamily="49" charset="0"/>
            </a:rPr>
            <a:t>Portada</a:t>
          </a:r>
        </a:p>
      </xdr:txBody>
    </xdr:sp>
    <xdr:clientData/>
  </xdr:twoCellAnchor>
  <xdr:twoCellAnchor editAs="oneCell">
    <xdr:from>
      <xdr:col>0</xdr:col>
      <xdr:colOff>428625</xdr:colOff>
      <xdr:row>36</xdr:row>
      <xdr:rowOff>58869</xdr:rowOff>
    </xdr:from>
    <xdr:to>
      <xdr:col>2</xdr:col>
      <xdr:colOff>76199</xdr:colOff>
      <xdr:row>42</xdr:row>
      <xdr:rowOff>47438</xdr:rowOff>
    </xdr:to>
    <xdr:pic>
      <xdr:nvPicPr>
        <xdr:cNvPr id="13" name="Imagen 12" descr="Resultado de imagen para docs animados">
          <a:hlinkClick xmlns:r="http://schemas.openxmlformats.org/officeDocument/2006/relationships" r:id="rId11"/>
        </xdr:cNvPr>
        <xdr:cNvPicPr>
          <a:picLocks noChangeAspect="1" noChangeArrowheads="1"/>
        </xdr:cNvPicPr>
      </xdr:nvPicPr>
      <xdr:blipFill rotWithShape="1">
        <a:blip xmlns:r="http://schemas.openxmlformats.org/officeDocument/2006/relationships" r:embed="rId12">
          <a:extLst>
            <a:ext uri="{28A0092B-C50C-407E-A947-70E740481C1C}">
              <a14:useLocalDpi xmlns:a14="http://schemas.microsoft.com/office/drawing/2010/main" val="0"/>
            </a:ext>
          </a:extLst>
        </a:blip>
        <a:srcRect l="16981" t="5000" r="18554" b="29000"/>
        <a:stretch/>
      </xdr:blipFill>
      <xdr:spPr bwMode="auto">
        <a:xfrm>
          <a:off x="428625" y="4697544"/>
          <a:ext cx="1171574" cy="113156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3"/>
  <sheetViews>
    <sheetView showGridLines="0" tabSelected="1" workbookViewId="0"/>
  </sheetViews>
  <sheetFormatPr baseColWidth="10" defaultRowHeight="15" x14ac:dyDescent="0.25"/>
  <sheetData>
    <row r="1" spans="1:10" x14ac:dyDescent="0.25">
      <c r="A1" s="3"/>
      <c r="B1" s="3"/>
      <c r="C1" s="3"/>
      <c r="D1" s="3"/>
      <c r="E1" s="3"/>
      <c r="F1" s="3"/>
      <c r="G1" s="3"/>
      <c r="H1" s="3"/>
      <c r="I1" s="3"/>
      <c r="J1" s="3"/>
    </row>
    <row r="2" spans="1:10" x14ac:dyDescent="0.25">
      <c r="A2" s="3"/>
      <c r="B2" s="3"/>
      <c r="C2" s="3"/>
      <c r="D2" s="3"/>
      <c r="E2" s="3"/>
      <c r="F2" s="3"/>
      <c r="G2" s="3"/>
      <c r="H2" s="3"/>
      <c r="I2" s="3"/>
      <c r="J2" s="3"/>
    </row>
    <row r="3" spans="1:10" x14ac:dyDescent="0.25">
      <c r="A3" s="3"/>
      <c r="B3" s="3"/>
      <c r="C3" s="3"/>
      <c r="D3" s="3"/>
      <c r="E3" s="3"/>
      <c r="F3" s="3"/>
      <c r="G3" s="3"/>
      <c r="H3" s="3"/>
      <c r="I3" s="3"/>
      <c r="J3" s="3"/>
    </row>
    <row r="4" spans="1:10" x14ac:dyDescent="0.25">
      <c r="A4" s="3"/>
      <c r="B4" s="3"/>
      <c r="C4" s="3"/>
      <c r="D4" s="3"/>
      <c r="E4" s="3"/>
      <c r="F4" s="3"/>
      <c r="G4" s="3"/>
      <c r="H4" s="3"/>
      <c r="I4" s="3"/>
      <c r="J4" s="3"/>
    </row>
    <row r="5" spans="1:10" x14ac:dyDescent="0.25">
      <c r="A5" s="3"/>
      <c r="B5" s="3"/>
      <c r="C5" s="3"/>
      <c r="D5" s="3"/>
      <c r="E5" s="3"/>
      <c r="F5" s="3"/>
      <c r="G5" s="3"/>
      <c r="H5" s="3"/>
      <c r="I5" s="3"/>
      <c r="J5" s="3"/>
    </row>
    <row r="6" spans="1:10" ht="16.5" x14ac:dyDescent="0.3">
      <c r="A6" s="3"/>
      <c r="B6" s="3"/>
      <c r="C6" s="8" t="s">
        <v>31</v>
      </c>
      <c r="D6" s="8"/>
      <c r="E6" s="8"/>
      <c r="F6" s="8"/>
      <c r="G6" s="8"/>
      <c r="H6" s="3"/>
      <c r="I6" s="3"/>
      <c r="J6" s="3"/>
    </row>
    <row r="7" spans="1:10" x14ac:dyDescent="0.25">
      <c r="A7" s="3"/>
      <c r="B7" s="3"/>
      <c r="C7" s="3"/>
      <c r="D7" s="3"/>
      <c r="E7" s="3"/>
      <c r="F7" s="3"/>
      <c r="G7" s="3"/>
      <c r="H7" s="3"/>
      <c r="I7" s="3"/>
      <c r="J7" s="3"/>
    </row>
    <row r="8" spans="1:10" ht="16.5" x14ac:dyDescent="0.3">
      <c r="A8" s="3"/>
      <c r="B8" s="3"/>
      <c r="C8" s="8" t="s">
        <v>32</v>
      </c>
      <c r="D8" s="8"/>
      <c r="E8" s="8"/>
      <c r="F8" s="8"/>
      <c r="G8" s="8"/>
      <c r="H8" s="3"/>
      <c r="I8" s="3"/>
      <c r="J8" s="3"/>
    </row>
    <row r="9" spans="1:10" x14ac:dyDescent="0.25">
      <c r="A9" s="3"/>
      <c r="B9" s="3"/>
      <c r="C9" s="3"/>
      <c r="D9" s="3"/>
      <c r="E9" s="3"/>
      <c r="F9" s="3"/>
      <c r="G9" s="3"/>
      <c r="H9" s="3"/>
      <c r="I9" s="3"/>
      <c r="J9" s="3"/>
    </row>
    <row r="10" spans="1:10" x14ac:dyDescent="0.25">
      <c r="A10" s="3"/>
      <c r="B10" s="3"/>
      <c r="C10" s="3"/>
      <c r="D10" s="3"/>
      <c r="E10" s="3"/>
      <c r="F10" s="3"/>
      <c r="G10" s="3"/>
      <c r="H10" s="3"/>
      <c r="I10" s="3"/>
      <c r="J10" s="3"/>
    </row>
    <row r="11" spans="1:10" x14ac:dyDescent="0.25">
      <c r="A11" s="3"/>
      <c r="B11" s="3"/>
      <c r="C11" s="3"/>
      <c r="D11" s="3"/>
      <c r="E11" s="3"/>
      <c r="F11" s="3"/>
      <c r="G11" s="3"/>
      <c r="H11" s="3"/>
      <c r="I11" s="3"/>
      <c r="J11" s="3"/>
    </row>
    <row r="12" spans="1:10" x14ac:dyDescent="0.25">
      <c r="A12" s="3"/>
      <c r="B12" s="3"/>
      <c r="C12" s="3"/>
      <c r="D12" s="3"/>
      <c r="E12" s="3"/>
      <c r="F12" s="3"/>
      <c r="G12" s="3"/>
      <c r="H12" s="3"/>
      <c r="I12" s="3"/>
      <c r="J12" s="3"/>
    </row>
    <row r="13" spans="1:10" x14ac:dyDescent="0.25">
      <c r="A13" s="3"/>
      <c r="B13" s="3"/>
      <c r="C13" s="3"/>
      <c r="D13" s="3"/>
      <c r="E13" s="3"/>
      <c r="F13" s="3"/>
      <c r="G13" s="3"/>
      <c r="H13" s="3"/>
      <c r="I13" s="3"/>
      <c r="J13" s="3"/>
    </row>
    <row r="14" spans="1:10" ht="16.5" x14ac:dyDescent="0.3">
      <c r="A14" s="3"/>
      <c r="B14" s="3"/>
      <c r="C14" s="8" t="s">
        <v>33</v>
      </c>
      <c r="D14" s="8"/>
      <c r="E14" s="8"/>
      <c r="F14" s="8"/>
      <c r="G14" s="8"/>
      <c r="H14" s="3"/>
      <c r="I14" s="3"/>
      <c r="J14" s="3"/>
    </row>
    <row r="15" spans="1:10" x14ac:dyDescent="0.25">
      <c r="A15" s="3"/>
      <c r="B15" s="3"/>
      <c r="C15" s="3"/>
      <c r="D15" s="3"/>
      <c r="E15" s="3"/>
      <c r="F15" s="3"/>
      <c r="G15" s="3"/>
      <c r="H15" s="3"/>
      <c r="I15" s="3"/>
      <c r="J15" s="3"/>
    </row>
    <row r="16" spans="1:10" ht="16.5" x14ac:dyDescent="0.3">
      <c r="A16" s="3"/>
      <c r="B16" s="3"/>
      <c r="C16" s="8" t="s">
        <v>37</v>
      </c>
      <c r="D16" s="8"/>
      <c r="E16" s="8"/>
      <c r="F16" s="8"/>
      <c r="G16" s="8"/>
      <c r="H16" s="3"/>
      <c r="I16" s="3"/>
      <c r="J16" s="3"/>
    </row>
    <row r="17" spans="1:10" x14ac:dyDescent="0.25">
      <c r="A17" s="3"/>
      <c r="B17" s="3"/>
      <c r="C17" s="4"/>
      <c r="D17" s="3"/>
      <c r="E17" s="3"/>
      <c r="F17" s="3"/>
      <c r="G17" s="3"/>
      <c r="H17" s="3"/>
      <c r="I17" s="3"/>
      <c r="J17" s="3"/>
    </row>
    <row r="18" spans="1:10" ht="16.5" x14ac:dyDescent="0.3">
      <c r="A18" s="3"/>
      <c r="B18" s="3"/>
      <c r="C18" s="8" t="s">
        <v>34</v>
      </c>
      <c r="D18" s="8"/>
      <c r="E18" s="8"/>
      <c r="F18" s="8"/>
      <c r="G18" s="8"/>
      <c r="H18" s="3"/>
      <c r="I18" s="3"/>
      <c r="J18" s="3"/>
    </row>
    <row r="19" spans="1:10" x14ac:dyDescent="0.25">
      <c r="A19" s="3"/>
      <c r="B19" s="3"/>
      <c r="C19" s="3"/>
      <c r="D19" s="3"/>
      <c r="E19" s="3"/>
      <c r="F19" s="3"/>
      <c r="G19" s="3"/>
      <c r="H19" s="3"/>
      <c r="I19" s="3"/>
      <c r="J19" s="3"/>
    </row>
    <row r="20" spans="1:10" ht="16.5" x14ac:dyDescent="0.3">
      <c r="A20" s="3"/>
      <c r="B20" s="3"/>
      <c r="C20" s="8" t="s">
        <v>35</v>
      </c>
      <c r="D20" s="8"/>
      <c r="E20" s="8"/>
      <c r="F20" s="8"/>
      <c r="G20" s="8"/>
      <c r="H20" s="3"/>
      <c r="I20" s="3"/>
      <c r="J20" s="3"/>
    </row>
    <row r="21" spans="1:10" x14ac:dyDescent="0.25">
      <c r="A21" s="3"/>
      <c r="B21" s="3"/>
      <c r="C21" s="3"/>
      <c r="D21" s="3"/>
      <c r="E21" s="3"/>
      <c r="F21" s="3"/>
      <c r="G21" s="3"/>
      <c r="H21" s="3"/>
      <c r="I21" s="3"/>
      <c r="J21" s="3"/>
    </row>
    <row r="22" spans="1:10" ht="16.5" x14ac:dyDescent="0.3">
      <c r="A22" s="3"/>
      <c r="B22" s="3"/>
      <c r="C22" s="8" t="s">
        <v>36</v>
      </c>
      <c r="D22" s="8"/>
      <c r="E22" s="8"/>
      <c r="F22" s="8"/>
      <c r="G22" s="8"/>
      <c r="H22" s="3"/>
      <c r="I22" s="3"/>
      <c r="J22" s="3"/>
    </row>
    <row r="23" spans="1:10" x14ac:dyDescent="0.25">
      <c r="A23" s="3"/>
      <c r="B23" s="3"/>
      <c r="C23" s="3"/>
      <c r="D23" s="3"/>
      <c r="E23" s="3"/>
      <c r="F23" s="3"/>
      <c r="G23" s="3"/>
      <c r="H23" s="3"/>
      <c r="I23" s="3"/>
      <c r="J23" s="3"/>
    </row>
  </sheetData>
  <mergeCells count="7">
    <mergeCell ref="C22:G22"/>
    <mergeCell ref="C6:G6"/>
    <mergeCell ref="C8:G8"/>
    <mergeCell ref="C14:G14"/>
    <mergeCell ref="C16:G16"/>
    <mergeCell ref="C18:G18"/>
    <mergeCell ref="C20:G20"/>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77"/>
  <sheetViews>
    <sheetView showGridLines="0" workbookViewId="0">
      <selection sqref="A1:J1"/>
    </sheetView>
  </sheetViews>
  <sheetFormatPr baseColWidth="10" defaultRowHeight="15" x14ac:dyDescent="0.25"/>
  <cols>
    <col min="1" max="16384" width="11.42578125" style="1"/>
  </cols>
  <sheetData>
    <row r="1" spans="1:20" ht="19.5" x14ac:dyDescent="0.35">
      <c r="A1" s="20" t="s">
        <v>98</v>
      </c>
      <c r="B1" s="20"/>
      <c r="C1" s="20"/>
      <c r="D1" s="20"/>
      <c r="E1" s="20"/>
      <c r="F1" s="20"/>
      <c r="G1" s="20"/>
      <c r="H1" s="20"/>
      <c r="I1" s="20"/>
      <c r="J1" s="20"/>
    </row>
    <row r="3" spans="1:20" ht="15.75" x14ac:dyDescent="0.3">
      <c r="A3" s="30" t="s">
        <v>99</v>
      </c>
      <c r="B3" s="30"/>
      <c r="C3" s="30"/>
      <c r="D3" s="30"/>
      <c r="E3" s="30"/>
      <c r="F3" s="30"/>
      <c r="G3" s="30"/>
      <c r="H3" s="30"/>
      <c r="I3" s="30"/>
      <c r="J3" s="30"/>
    </row>
    <row r="4" spans="1:20" ht="15" customHeight="1" x14ac:dyDescent="0.25">
      <c r="A4" s="72" t="s">
        <v>100</v>
      </c>
      <c r="B4" s="72"/>
      <c r="C4" s="72"/>
      <c r="D4" s="72"/>
      <c r="E4" s="72"/>
      <c r="F4" s="72"/>
      <c r="G4" s="72"/>
      <c r="H4" s="72"/>
      <c r="I4" s="72"/>
      <c r="J4" s="72"/>
    </row>
    <row r="5" spans="1:20" x14ac:dyDescent="0.25">
      <c r="A5" s="72"/>
      <c r="B5" s="72"/>
      <c r="C5" s="72"/>
      <c r="D5" s="72"/>
      <c r="E5" s="72"/>
      <c r="F5" s="72"/>
      <c r="G5" s="72"/>
      <c r="H5" s="72"/>
      <c r="I5" s="72"/>
      <c r="J5" s="72"/>
      <c r="L5"/>
      <c r="M5"/>
      <c r="N5"/>
    </row>
    <row r="6" spans="1:20" x14ac:dyDescent="0.25">
      <c r="A6" s="72"/>
      <c r="B6" s="72"/>
      <c r="C6" s="72"/>
      <c r="D6" s="72"/>
      <c r="E6" s="72"/>
      <c r="F6" s="72"/>
      <c r="G6" s="72"/>
      <c r="H6" s="72"/>
      <c r="I6" s="72"/>
      <c r="J6" s="72"/>
      <c r="L6"/>
      <c r="M6"/>
      <c r="N6"/>
    </row>
    <row r="7" spans="1:20" x14ac:dyDescent="0.25">
      <c r="A7" s="72"/>
      <c r="B7" s="72"/>
      <c r="C7" s="72"/>
      <c r="D7" s="72"/>
      <c r="E7" s="72"/>
      <c r="F7" s="72"/>
      <c r="G7" s="72"/>
      <c r="H7" s="72"/>
      <c r="I7" s="72"/>
      <c r="J7" s="72"/>
      <c r="L7"/>
      <c r="M7"/>
      <c r="N7"/>
    </row>
    <row r="8" spans="1:20" x14ac:dyDescent="0.25">
      <c r="A8" s="72"/>
      <c r="B8" s="72"/>
      <c r="C8" s="72"/>
      <c r="D8" s="72"/>
      <c r="E8" s="72"/>
      <c r="F8" s="72"/>
      <c r="G8" s="72"/>
      <c r="H8" s="72"/>
      <c r="I8" s="72"/>
      <c r="J8" s="72"/>
      <c r="L8"/>
      <c r="M8"/>
      <c r="N8"/>
    </row>
    <row r="9" spans="1:20" x14ac:dyDescent="0.25">
      <c r="A9" s="72"/>
      <c r="B9" s="72"/>
      <c r="C9" s="72"/>
      <c r="D9" s="72"/>
      <c r="E9" s="72"/>
      <c r="F9" s="72"/>
      <c r="G9" s="72"/>
      <c r="H9" s="72"/>
      <c r="I9" s="72"/>
      <c r="J9" s="72"/>
      <c r="L9"/>
      <c r="M9"/>
      <c r="N9"/>
    </row>
    <row r="10" spans="1:20" x14ac:dyDescent="0.25">
      <c r="A10" s="72"/>
      <c r="B10" s="72"/>
      <c r="C10" s="72"/>
      <c r="D10" s="72"/>
      <c r="E10" s="72"/>
      <c r="F10" s="72"/>
      <c r="G10" s="72"/>
      <c r="H10" s="72"/>
      <c r="I10" s="72"/>
      <c r="J10" s="72"/>
      <c r="L10"/>
      <c r="M10"/>
      <c r="N10"/>
    </row>
    <row r="11" spans="1:20" x14ac:dyDescent="0.25">
      <c r="A11" s="72"/>
      <c r="B11" s="72"/>
      <c r="C11" s="72"/>
      <c r="D11" s="72"/>
      <c r="E11" s="72"/>
      <c r="F11" s="72"/>
      <c r="G11" s="72"/>
      <c r="H11" s="72"/>
      <c r="I11" s="72"/>
      <c r="J11" s="72"/>
      <c r="L11"/>
      <c r="M11"/>
      <c r="N11"/>
      <c r="O11"/>
      <c r="P11"/>
      <c r="Q11"/>
      <c r="R11"/>
      <c r="S11"/>
      <c r="T11"/>
    </row>
    <row r="12" spans="1:20" x14ac:dyDescent="0.25">
      <c r="A12" s="72"/>
      <c r="B12" s="72"/>
      <c r="C12" s="72"/>
      <c r="D12" s="72"/>
      <c r="E12" s="72"/>
      <c r="F12" s="72"/>
      <c r="G12" s="72"/>
      <c r="H12" s="72"/>
      <c r="I12" s="72"/>
      <c r="J12" s="72"/>
      <c r="L12"/>
      <c r="M12"/>
      <c r="N12"/>
      <c r="O12"/>
      <c r="P12"/>
      <c r="Q12"/>
      <c r="R12"/>
      <c r="S12"/>
      <c r="T12"/>
    </row>
    <row r="13" spans="1:20" x14ac:dyDescent="0.25">
      <c r="A13" s="72"/>
      <c r="B13" s="72"/>
      <c r="C13" s="72"/>
      <c r="D13" s="72"/>
      <c r="E13" s="72"/>
      <c r="F13" s="72"/>
      <c r="G13" s="72"/>
      <c r="H13" s="72"/>
      <c r="I13" s="72"/>
      <c r="J13" s="72"/>
      <c r="L13"/>
      <c r="M13"/>
      <c r="N13"/>
      <c r="O13"/>
      <c r="P13"/>
      <c r="Q13"/>
      <c r="R13"/>
      <c r="S13"/>
      <c r="T13"/>
    </row>
    <row r="14" spans="1:20" x14ac:dyDescent="0.25">
      <c r="A14" s="72"/>
      <c r="B14" s="72"/>
      <c r="C14" s="72"/>
      <c r="D14" s="72"/>
      <c r="E14" s="72"/>
      <c r="F14" s="72"/>
      <c r="G14" s="72"/>
      <c r="H14" s="72"/>
      <c r="I14" s="72"/>
      <c r="J14" s="72"/>
      <c r="L14"/>
      <c r="M14"/>
      <c r="N14"/>
      <c r="O14"/>
      <c r="P14"/>
      <c r="Q14"/>
      <c r="R14"/>
      <c r="S14"/>
      <c r="T14"/>
    </row>
    <row r="15" spans="1:20" x14ac:dyDescent="0.25">
      <c r="A15" s="72"/>
      <c r="B15" s="72"/>
      <c r="C15" s="72"/>
      <c r="D15" s="72"/>
      <c r="E15" s="72"/>
      <c r="F15" s="72"/>
      <c r="G15" s="72"/>
      <c r="H15" s="72"/>
      <c r="I15" s="72"/>
      <c r="J15" s="72"/>
      <c r="L15"/>
      <c r="M15"/>
      <c r="N15"/>
      <c r="O15"/>
      <c r="P15"/>
      <c r="Q15"/>
      <c r="R15"/>
      <c r="S15"/>
      <c r="T15"/>
    </row>
    <row r="16" spans="1:20" x14ac:dyDescent="0.25">
      <c r="A16" s="72"/>
      <c r="B16" s="72"/>
      <c r="C16" s="72"/>
      <c r="D16" s="72"/>
      <c r="E16" s="72"/>
      <c r="F16" s="72"/>
      <c r="G16" s="72"/>
      <c r="H16" s="72"/>
      <c r="I16" s="72"/>
      <c r="J16" s="72"/>
      <c r="L16"/>
      <c r="M16"/>
      <c r="N16"/>
      <c r="O16"/>
      <c r="P16"/>
      <c r="Q16"/>
      <c r="R16"/>
      <c r="S16"/>
      <c r="T16"/>
    </row>
    <row r="17" spans="1:20" x14ac:dyDescent="0.25">
      <c r="A17" s="72"/>
      <c r="B17" s="72"/>
      <c r="C17" s="72"/>
      <c r="D17" s="72"/>
      <c r="E17" s="72"/>
      <c r="F17" s="72"/>
      <c r="G17" s="72"/>
      <c r="H17" s="72"/>
      <c r="I17" s="72"/>
      <c r="J17" s="72"/>
      <c r="L17"/>
      <c r="M17"/>
      <c r="N17"/>
      <c r="O17"/>
      <c r="P17"/>
      <c r="Q17"/>
      <c r="R17"/>
      <c r="S17"/>
      <c r="T17"/>
    </row>
    <row r="18" spans="1:20" x14ac:dyDescent="0.25">
      <c r="A18" s="72"/>
      <c r="B18" s="72"/>
      <c r="C18" s="72"/>
      <c r="D18" s="72"/>
      <c r="E18" s="72"/>
      <c r="F18" s="72"/>
      <c r="G18" s="72"/>
      <c r="H18" s="72"/>
      <c r="I18" s="72"/>
      <c r="J18" s="72"/>
      <c r="L18"/>
      <c r="M18"/>
      <c r="N18"/>
      <c r="O18"/>
      <c r="P18"/>
      <c r="Q18"/>
      <c r="R18"/>
      <c r="S18"/>
      <c r="T18"/>
    </row>
    <row r="19" spans="1:20" x14ac:dyDescent="0.25">
      <c r="A19" s="72"/>
      <c r="B19" s="72"/>
      <c r="C19" s="72"/>
      <c r="D19" s="72"/>
      <c r="E19" s="72"/>
      <c r="F19" s="72"/>
      <c r="G19" s="72"/>
      <c r="H19" s="72"/>
      <c r="I19" s="72"/>
      <c r="J19" s="72"/>
      <c r="L19"/>
      <c r="M19"/>
      <c r="N19"/>
      <c r="O19"/>
      <c r="P19"/>
      <c r="Q19"/>
      <c r="R19"/>
      <c r="S19"/>
      <c r="T19"/>
    </row>
    <row r="20" spans="1:20" x14ac:dyDescent="0.25">
      <c r="A20" s="72"/>
      <c r="B20" s="72"/>
      <c r="C20" s="72"/>
      <c r="D20" s="72"/>
      <c r="E20" s="72"/>
      <c r="F20" s="72"/>
      <c r="G20" s="72"/>
      <c r="H20" s="72"/>
      <c r="I20" s="72"/>
      <c r="J20" s="72"/>
      <c r="L20"/>
      <c r="M20"/>
      <c r="N20"/>
      <c r="O20"/>
      <c r="P20"/>
      <c r="Q20"/>
      <c r="R20"/>
      <c r="S20"/>
      <c r="T20"/>
    </row>
    <row r="21" spans="1:20" x14ac:dyDescent="0.25">
      <c r="A21" s="72"/>
      <c r="B21" s="72"/>
      <c r="C21" s="72"/>
      <c r="D21" s="72"/>
      <c r="E21" s="72"/>
      <c r="F21" s="72"/>
      <c r="G21" s="72"/>
      <c r="H21" s="72"/>
      <c r="I21" s="72"/>
      <c r="J21" s="72"/>
      <c r="L21"/>
      <c r="M21"/>
      <c r="N21"/>
      <c r="O21"/>
      <c r="P21"/>
      <c r="Q21"/>
      <c r="R21"/>
      <c r="S21"/>
      <c r="T21"/>
    </row>
    <row r="22" spans="1:20" x14ac:dyDescent="0.25">
      <c r="A22" s="72"/>
      <c r="B22" s="72"/>
      <c r="C22" s="72"/>
      <c r="D22" s="72"/>
      <c r="E22" s="72"/>
      <c r="F22" s="72"/>
      <c r="G22" s="72"/>
      <c r="H22" s="72"/>
      <c r="I22" s="72"/>
      <c r="J22" s="72"/>
      <c r="L22"/>
      <c r="M22"/>
      <c r="N22"/>
      <c r="O22"/>
      <c r="P22"/>
      <c r="Q22"/>
      <c r="R22"/>
      <c r="S22"/>
      <c r="T22"/>
    </row>
    <row r="23" spans="1:20" x14ac:dyDescent="0.25">
      <c r="A23" s="72"/>
      <c r="B23" s="72"/>
      <c r="C23" s="72"/>
      <c r="D23" s="72"/>
      <c r="E23" s="72"/>
      <c r="F23" s="72"/>
      <c r="G23" s="72"/>
      <c r="H23" s="72"/>
      <c r="I23" s="72"/>
      <c r="J23" s="72"/>
    </row>
    <row r="24" spans="1:20" x14ac:dyDescent="0.25">
      <c r="A24" s="72"/>
      <c r="B24" s="72"/>
      <c r="C24" s="72"/>
      <c r="D24" s="72"/>
      <c r="E24" s="72"/>
      <c r="F24" s="72"/>
      <c r="G24" s="72"/>
      <c r="H24" s="72"/>
      <c r="I24" s="72"/>
      <c r="J24" s="72"/>
    </row>
    <row r="25" spans="1:20" x14ac:dyDescent="0.25">
      <c r="A25" s="72"/>
      <c r="B25" s="72"/>
      <c r="C25" s="72"/>
      <c r="D25" s="72"/>
      <c r="E25" s="72"/>
      <c r="F25" s="72"/>
      <c r="G25" s="72"/>
      <c r="H25" s="72"/>
      <c r="I25" s="72"/>
      <c r="J25" s="72"/>
    </row>
    <row r="26" spans="1:20" x14ac:dyDescent="0.25">
      <c r="A26" s="72"/>
      <c r="B26" s="72"/>
      <c r="C26" s="72"/>
      <c r="D26" s="72"/>
      <c r="E26" s="72"/>
      <c r="F26" s="72"/>
      <c r="G26" s="72"/>
      <c r="H26" s="72"/>
      <c r="I26" s="72"/>
      <c r="J26" s="72"/>
    </row>
    <row r="27" spans="1:20" x14ac:dyDescent="0.25">
      <c r="A27" s="72"/>
      <c r="B27" s="72"/>
      <c r="C27" s="72"/>
      <c r="D27" s="72"/>
      <c r="E27" s="72"/>
      <c r="F27" s="72"/>
      <c r="G27" s="72"/>
      <c r="H27" s="72"/>
      <c r="I27" s="72"/>
      <c r="J27" s="72"/>
    </row>
    <row r="28" spans="1:20" x14ac:dyDescent="0.25">
      <c r="A28" s="72"/>
      <c r="B28" s="72"/>
      <c r="C28" s="72"/>
      <c r="D28" s="72"/>
      <c r="E28" s="72"/>
      <c r="F28" s="72"/>
      <c r="G28" s="72"/>
      <c r="H28" s="72"/>
      <c r="I28" s="72"/>
      <c r="J28" s="72"/>
    </row>
    <row r="29" spans="1:20" x14ac:dyDescent="0.25">
      <c r="A29" s="72"/>
      <c r="B29" s="72"/>
      <c r="C29" s="72"/>
      <c r="D29" s="72"/>
      <c r="E29" s="72"/>
      <c r="F29" s="72"/>
      <c r="G29" s="72"/>
      <c r="H29" s="72"/>
      <c r="I29" s="72"/>
      <c r="J29" s="72"/>
    </row>
    <row r="30" spans="1:20" x14ac:dyDescent="0.25">
      <c r="A30" s="72"/>
      <c r="B30" s="72"/>
      <c r="C30" s="72"/>
      <c r="D30" s="72"/>
      <c r="E30" s="72"/>
      <c r="F30" s="72"/>
      <c r="G30" s="72"/>
      <c r="H30" s="72"/>
      <c r="I30" s="72"/>
      <c r="J30" s="72"/>
    </row>
    <row r="31" spans="1:20" x14ac:dyDescent="0.25">
      <c r="A31" s="72"/>
      <c r="B31" s="72"/>
      <c r="C31" s="72"/>
      <c r="D31" s="72"/>
      <c r="E31" s="72"/>
      <c r="F31" s="72"/>
      <c r="G31" s="72"/>
      <c r="H31" s="72"/>
      <c r="I31" s="72"/>
      <c r="J31" s="72"/>
    </row>
    <row r="32" spans="1:20" x14ac:dyDescent="0.25">
      <c r="A32" s="72"/>
      <c r="B32" s="72"/>
      <c r="C32" s="72"/>
      <c r="D32" s="72"/>
      <c r="E32" s="72"/>
      <c r="F32" s="72"/>
      <c r="G32" s="72"/>
      <c r="H32" s="72"/>
      <c r="I32" s="72"/>
      <c r="J32" s="72"/>
    </row>
    <row r="33" spans="1:20" x14ac:dyDescent="0.25">
      <c r="A33" s="72"/>
      <c r="B33" s="72"/>
      <c r="C33" s="72"/>
      <c r="D33" s="72"/>
      <c r="E33" s="72"/>
      <c r="F33" s="72"/>
      <c r="G33" s="72"/>
      <c r="H33" s="72"/>
      <c r="I33" s="72"/>
      <c r="J33" s="72"/>
    </row>
    <row r="34" spans="1:20" x14ac:dyDescent="0.25">
      <c r="A34" s="72"/>
      <c r="B34" s="72"/>
      <c r="C34" s="72"/>
      <c r="D34" s="72"/>
      <c r="E34" s="72"/>
      <c r="F34" s="72"/>
      <c r="G34" s="72"/>
      <c r="H34" s="72"/>
      <c r="I34" s="72"/>
      <c r="J34" s="72"/>
    </row>
    <row r="35" spans="1:20" x14ac:dyDescent="0.25">
      <c r="A35" s="72"/>
      <c r="B35" s="72"/>
      <c r="C35" s="72"/>
      <c r="D35" s="72"/>
      <c r="E35" s="72"/>
      <c r="F35" s="72"/>
      <c r="G35" s="72"/>
      <c r="H35" s="72"/>
      <c r="I35" s="72"/>
      <c r="J35" s="72"/>
    </row>
    <row r="36" spans="1:20" x14ac:dyDescent="0.25">
      <c r="A36" s="72"/>
      <c r="B36" s="72"/>
      <c r="C36" s="72"/>
      <c r="D36" s="72"/>
      <c r="E36" s="72"/>
      <c r="F36" s="72"/>
      <c r="G36" s="72"/>
      <c r="H36" s="72"/>
      <c r="I36" s="72"/>
      <c r="J36" s="72"/>
    </row>
    <row r="37" spans="1:20" x14ac:dyDescent="0.25">
      <c r="A37" s="72"/>
      <c r="B37" s="72"/>
      <c r="C37" s="72"/>
      <c r="D37" s="72"/>
      <c r="E37" s="72"/>
      <c r="F37" s="72"/>
      <c r="G37" s="72"/>
      <c r="H37" s="72"/>
      <c r="I37" s="72"/>
      <c r="J37" s="72"/>
    </row>
    <row r="38" spans="1:20" x14ac:dyDescent="0.25">
      <c r="A38" s="72"/>
      <c r="B38" s="72"/>
      <c r="C38" s="72"/>
      <c r="D38" s="72"/>
      <c r="E38" s="72"/>
      <c r="F38" s="72"/>
      <c r="G38" s="72"/>
      <c r="H38" s="72"/>
      <c r="I38" s="72"/>
      <c r="J38" s="72"/>
      <c r="K38" s="6"/>
    </row>
    <row r="39" spans="1:20" x14ac:dyDescent="0.25">
      <c r="A39" s="71"/>
      <c r="B39" s="71"/>
      <c r="C39" s="71"/>
      <c r="D39" s="71"/>
      <c r="E39" s="71"/>
      <c r="F39" s="71"/>
      <c r="G39" s="71"/>
      <c r="H39" s="71"/>
      <c r="I39" s="71"/>
      <c r="J39" s="71"/>
    </row>
    <row r="40" spans="1:20" ht="16.5" x14ac:dyDescent="0.25">
      <c r="A40" s="74" t="s">
        <v>101</v>
      </c>
      <c r="B40" s="74"/>
      <c r="C40" s="74"/>
      <c r="D40" s="74"/>
      <c r="E40" s="74"/>
      <c r="F40" s="74"/>
      <c r="G40" s="74"/>
      <c r="H40" s="74"/>
      <c r="I40" s="74"/>
      <c r="J40" s="74"/>
    </row>
    <row r="41" spans="1:20" ht="15" customHeight="1" x14ac:dyDescent="0.25">
      <c r="A41" s="73" t="s">
        <v>102</v>
      </c>
      <c r="B41" s="73"/>
      <c r="C41" s="73"/>
      <c r="D41" s="73"/>
      <c r="E41" s="73"/>
      <c r="F41" s="73"/>
      <c r="G41" s="73"/>
      <c r="H41" s="73"/>
      <c r="I41" s="73"/>
      <c r="J41" s="73"/>
    </row>
    <row r="42" spans="1:20" x14ac:dyDescent="0.25">
      <c r="A42" s="73"/>
      <c r="B42" s="73"/>
      <c r="C42" s="73"/>
      <c r="D42" s="73"/>
      <c r="E42" s="73"/>
      <c r="F42" s="73"/>
      <c r="G42" s="73"/>
      <c r="H42" s="73"/>
      <c r="I42" s="73"/>
      <c r="J42" s="73"/>
    </row>
    <row r="43" spans="1:20" x14ac:dyDescent="0.25">
      <c r="A43" s="73"/>
      <c r="B43" s="73"/>
      <c r="C43" s="73"/>
      <c r="D43" s="73"/>
      <c r="E43" s="73"/>
      <c r="F43" s="73"/>
      <c r="G43" s="73"/>
      <c r="H43" s="73"/>
      <c r="I43" s="73"/>
      <c r="J43" s="73"/>
      <c r="N43"/>
      <c r="O43"/>
      <c r="P43"/>
      <c r="Q43"/>
      <c r="R43"/>
      <c r="S43"/>
      <c r="T43"/>
    </row>
    <row r="44" spans="1:20" x14ac:dyDescent="0.25">
      <c r="A44" s="73"/>
      <c r="B44" s="73"/>
      <c r="C44" s="73"/>
      <c r="D44" s="73"/>
      <c r="E44" s="73"/>
      <c r="F44" s="73"/>
      <c r="G44" s="73"/>
      <c r="H44" s="73"/>
      <c r="I44" s="73"/>
      <c r="J44" s="73"/>
      <c r="N44"/>
      <c r="O44"/>
      <c r="P44"/>
      <c r="Q44"/>
      <c r="R44"/>
      <c r="S44"/>
      <c r="T44"/>
    </row>
    <row r="45" spans="1:20" x14ac:dyDescent="0.25">
      <c r="A45" s="73"/>
      <c r="B45" s="73"/>
      <c r="C45" s="73"/>
      <c r="D45" s="73"/>
      <c r="E45" s="73"/>
      <c r="F45" s="73"/>
      <c r="G45" s="73"/>
      <c r="H45" s="73"/>
      <c r="I45" s="73"/>
      <c r="J45" s="73"/>
      <c r="N45"/>
      <c r="O45"/>
      <c r="P45"/>
      <c r="Q45"/>
      <c r="R45"/>
      <c r="S45"/>
      <c r="T45"/>
    </row>
    <row r="46" spans="1:20" x14ac:dyDescent="0.25">
      <c r="A46" s="73"/>
      <c r="B46" s="73"/>
      <c r="C46" s="73"/>
      <c r="D46" s="73"/>
      <c r="E46" s="73"/>
      <c r="F46" s="73"/>
      <c r="G46" s="73"/>
      <c r="H46" s="73"/>
      <c r="I46" s="73"/>
      <c r="J46" s="73"/>
      <c r="N46"/>
      <c r="O46"/>
      <c r="P46"/>
      <c r="Q46"/>
      <c r="R46"/>
      <c r="S46"/>
      <c r="T46"/>
    </row>
    <row r="47" spans="1:20" x14ac:dyDescent="0.25">
      <c r="A47" s="73"/>
      <c r="B47" s="73"/>
      <c r="C47" s="73"/>
      <c r="D47" s="73"/>
      <c r="E47" s="73"/>
      <c r="F47" s="73"/>
      <c r="G47" s="73"/>
      <c r="H47" s="73"/>
      <c r="I47" s="73"/>
      <c r="J47" s="73"/>
      <c r="N47"/>
      <c r="O47"/>
      <c r="P47"/>
      <c r="Q47"/>
      <c r="R47"/>
      <c r="S47"/>
      <c r="T47"/>
    </row>
    <row r="48" spans="1:20" x14ac:dyDescent="0.25">
      <c r="A48" s="73"/>
      <c r="B48" s="73"/>
      <c r="C48" s="73"/>
      <c r="D48" s="73"/>
      <c r="E48" s="73"/>
      <c r="F48" s="73"/>
      <c r="G48" s="73"/>
      <c r="H48" s="73"/>
      <c r="I48" s="73"/>
      <c r="J48" s="73"/>
      <c r="N48"/>
      <c r="O48"/>
      <c r="P48"/>
      <c r="Q48"/>
      <c r="R48"/>
      <c r="S48"/>
      <c r="T48"/>
    </row>
    <row r="49" spans="1:20" x14ac:dyDescent="0.25">
      <c r="A49" s="73"/>
      <c r="B49" s="73"/>
      <c r="C49" s="73"/>
      <c r="D49" s="73"/>
      <c r="E49" s="73"/>
      <c r="F49" s="73"/>
      <c r="G49" s="73"/>
      <c r="H49" s="73"/>
      <c r="I49" s="73"/>
      <c r="J49" s="73"/>
      <c r="N49"/>
      <c r="O49"/>
      <c r="P49"/>
      <c r="Q49"/>
      <c r="R49"/>
      <c r="S49"/>
      <c r="T49"/>
    </row>
    <row r="50" spans="1:20" x14ac:dyDescent="0.25">
      <c r="A50" s="73"/>
      <c r="B50" s="73"/>
      <c r="C50" s="73"/>
      <c r="D50" s="73"/>
      <c r="E50" s="73"/>
      <c r="F50" s="73"/>
      <c r="G50" s="73"/>
      <c r="H50" s="73"/>
      <c r="I50" s="73"/>
      <c r="J50" s="73"/>
      <c r="N50"/>
      <c r="O50"/>
      <c r="P50"/>
      <c r="Q50"/>
      <c r="R50"/>
      <c r="S50"/>
      <c r="T50"/>
    </row>
    <row r="51" spans="1:20" x14ac:dyDescent="0.25">
      <c r="A51" s="73"/>
      <c r="B51" s="73"/>
      <c r="C51" s="73"/>
      <c r="D51" s="73"/>
      <c r="E51" s="73"/>
      <c r="F51" s="73"/>
      <c r="G51" s="73"/>
      <c r="H51" s="73"/>
      <c r="I51" s="73"/>
      <c r="J51" s="73"/>
      <c r="N51"/>
      <c r="O51"/>
      <c r="P51"/>
      <c r="Q51"/>
      <c r="R51"/>
      <c r="S51"/>
      <c r="T51"/>
    </row>
    <row r="52" spans="1:20" x14ac:dyDescent="0.25">
      <c r="A52" s="73"/>
      <c r="B52" s="73"/>
      <c r="C52" s="73"/>
      <c r="D52" s="73"/>
      <c r="E52" s="73"/>
      <c r="F52" s="73"/>
      <c r="G52" s="73"/>
      <c r="H52" s="73"/>
      <c r="I52" s="73"/>
      <c r="J52" s="73"/>
    </row>
    <row r="53" spans="1:20" x14ac:dyDescent="0.25">
      <c r="A53" s="73"/>
      <c r="B53" s="73"/>
      <c r="C53" s="73"/>
      <c r="D53" s="73"/>
      <c r="E53" s="73"/>
      <c r="F53" s="73"/>
      <c r="G53" s="73"/>
      <c r="H53" s="73"/>
      <c r="I53" s="73"/>
      <c r="J53" s="73"/>
    </row>
    <row r="54" spans="1:20" x14ac:dyDescent="0.25">
      <c r="A54" s="73"/>
      <c r="B54" s="73"/>
      <c r="C54" s="73"/>
      <c r="D54" s="73"/>
      <c r="E54" s="73"/>
      <c r="F54" s="73"/>
      <c r="G54" s="73"/>
      <c r="H54" s="73"/>
      <c r="I54" s="73"/>
      <c r="J54" s="73"/>
    </row>
    <row r="55" spans="1:20" x14ac:dyDescent="0.25">
      <c r="A55" s="73"/>
      <c r="B55" s="73"/>
      <c r="C55" s="73"/>
      <c r="D55" s="73"/>
      <c r="E55" s="73"/>
      <c r="F55" s="73"/>
      <c r="G55" s="73"/>
      <c r="H55" s="73"/>
      <c r="I55" s="73"/>
      <c r="J55" s="73"/>
    </row>
    <row r="56" spans="1:20" x14ac:dyDescent="0.25">
      <c r="A56" s="73"/>
      <c r="B56" s="73"/>
      <c r="C56" s="73"/>
      <c r="D56" s="73"/>
      <c r="E56" s="73"/>
      <c r="F56" s="73"/>
      <c r="G56" s="73"/>
      <c r="H56" s="73"/>
      <c r="I56" s="73"/>
      <c r="J56" s="73"/>
    </row>
    <row r="57" spans="1:20" x14ac:dyDescent="0.25">
      <c r="A57" s="73"/>
      <c r="B57" s="73"/>
      <c r="C57" s="73"/>
      <c r="D57" s="73"/>
      <c r="E57" s="73"/>
      <c r="F57" s="73"/>
      <c r="G57" s="73"/>
      <c r="H57" s="73"/>
      <c r="I57" s="73"/>
      <c r="J57" s="73"/>
    </row>
    <row r="58" spans="1:20" x14ac:dyDescent="0.25">
      <c r="A58" s="73"/>
      <c r="B58" s="73"/>
      <c r="C58" s="73"/>
      <c r="D58" s="73"/>
      <c r="E58" s="73"/>
      <c r="F58" s="73"/>
      <c r="G58" s="73"/>
      <c r="H58" s="73"/>
      <c r="I58" s="73"/>
      <c r="J58" s="73"/>
    </row>
    <row r="59" spans="1:20" x14ac:dyDescent="0.25">
      <c r="A59" s="73"/>
      <c r="B59" s="73"/>
      <c r="C59" s="73"/>
      <c r="D59" s="73"/>
      <c r="E59" s="73"/>
      <c r="F59" s="73"/>
      <c r="G59" s="73"/>
      <c r="H59" s="73"/>
      <c r="I59" s="73"/>
      <c r="J59" s="73"/>
    </row>
    <row r="60" spans="1:20" x14ac:dyDescent="0.25">
      <c r="A60" s="73"/>
      <c r="B60" s="73"/>
      <c r="C60" s="73"/>
      <c r="D60" s="73"/>
      <c r="E60" s="73"/>
      <c r="F60" s="73"/>
      <c r="G60" s="73"/>
      <c r="H60" s="73"/>
      <c r="I60" s="73"/>
      <c r="J60" s="73"/>
    </row>
    <row r="61" spans="1:20" x14ac:dyDescent="0.25">
      <c r="A61" s="73"/>
      <c r="B61" s="73"/>
      <c r="C61" s="73"/>
      <c r="D61" s="73"/>
      <c r="E61" s="73"/>
      <c r="F61" s="73"/>
      <c r="G61" s="73"/>
      <c r="H61" s="73"/>
      <c r="I61" s="73"/>
      <c r="J61" s="73"/>
    </row>
    <row r="62" spans="1:20" x14ac:dyDescent="0.25">
      <c r="A62" s="73"/>
      <c r="B62" s="73"/>
      <c r="C62" s="73"/>
      <c r="D62" s="73"/>
      <c r="E62" s="73"/>
      <c r="F62" s="73"/>
      <c r="G62" s="73"/>
      <c r="H62" s="73"/>
      <c r="I62" s="73"/>
      <c r="J62" s="73"/>
    </row>
    <row r="63" spans="1:20" x14ac:dyDescent="0.25">
      <c r="A63" s="73"/>
      <c r="B63" s="73"/>
      <c r="C63" s="73"/>
      <c r="D63" s="73"/>
      <c r="E63" s="73"/>
      <c r="F63" s="73"/>
      <c r="G63" s="73"/>
      <c r="H63" s="73"/>
      <c r="I63" s="73"/>
      <c r="J63" s="73"/>
    </row>
    <row r="64" spans="1:20" x14ac:dyDescent="0.25">
      <c r="A64" s="73"/>
      <c r="B64" s="73"/>
      <c r="C64" s="73"/>
      <c r="D64" s="73"/>
      <c r="E64" s="73"/>
      <c r="F64" s="73"/>
      <c r="G64" s="73"/>
      <c r="H64" s="73"/>
      <c r="I64" s="73"/>
      <c r="J64" s="73"/>
    </row>
    <row r="65" spans="1:10" x14ac:dyDescent="0.25">
      <c r="A65" s="73"/>
      <c r="B65" s="73"/>
      <c r="C65" s="73"/>
      <c r="D65" s="73"/>
      <c r="E65" s="73"/>
      <c r="F65" s="73"/>
      <c r="G65" s="73"/>
      <c r="H65" s="73"/>
      <c r="I65" s="73"/>
      <c r="J65" s="73"/>
    </row>
    <row r="66" spans="1:10" x14ac:dyDescent="0.25">
      <c r="A66" s="73"/>
      <c r="B66" s="73"/>
      <c r="C66" s="73"/>
      <c r="D66" s="73"/>
      <c r="E66" s="73"/>
      <c r="F66" s="73"/>
      <c r="G66" s="73"/>
      <c r="H66" s="73"/>
      <c r="I66" s="73"/>
      <c r="J66" s="73"/>
    </row>
    <row r="67" spans="1:10" x14ac:dyDescent="0.25">
      <c r="A67" s="73"/>
      <c r="B67" s="73"/>
      <c r="C67" s="73"/>
      <c r="D67" s="73"/>
      <c r="E67" s="73"/>
      <c r="F67" s="73"/>
      <c r="G67" s="73"/>
      <c r="H67" s="73"/>
      <c r="I67" s="73"/>
      <c r="J67" s="73"/>
    </row>
    <row r="69" spans="1:10" ht="16.5" x14ac:dyDescent="0.3">
      <c r="A69" s="70" t="s">
        <v>67</v>
      </c>
      <c r="B69" s="70"/>
      <c r="C69" s="70"/>
      <c r="D69" s="70"/>
      <c r="E69" s="70"/>
      <c r="F69" s="70"/>
      <c r="G69" s="70"/>
      <c r="H69" s="70"/>
      <c r="I69" s="70"/>
      <c r="J69" s="70"/>
    </row>
    <row r="70" spans="1:10" ht="15" customHeight="1" x14ac:dyDescent="0.25">
      <c r="A70" s="75" t="s">
        <v>103</v>
      </c>
      <c r="B70" s="75"/>
      <c r="C70" s="75"/>
      <c r="D70" s="75"/>
      <c r="E70" s="75"/>
      <c r="F70" s="75"/>
      <c r="G70" s="75"/>
      <c r="H70" s="75"/>
      <c r="I70" s="75"/>
      <c r="J70" s="75"/>
    </row>
    <row r="71" spans="1:10" x14ac:dyDescent="0.25">
      <c r="A71" s="75"/>
      <c r="B71" s="75"/>
      <c r="C71" s="75"/>
      <c r="D71" s="75"/>
      <c r="E71" s="75"/>
      <c r="F71" s="75"/>
      <c r="G71" s="75"/>
      <c r="H71" s="75"/>
      <c r="I71" s="75"/>
      <c r="J71" s="75"/>
    </row>
    <row r="72" spans="1:10" x14ac:dyDescent="0.25">
      <c r="A72" s="75"/>
      <c r="B72" s="75"/>
      <c r="C72" s="75"/>
      <c r="D72" s="75"/>
      <c r="E72" s="75"/>
      <c r="F72" s="75"/>
      <c r="G72" s="75"/>
      <c r="H72" s="75"/>
      <c r="I72" s="75"/>
      <c r="J72" s="75"/>
    </row>
    <row r="73" spans="1:10" x14ac:dyDescent="0.25">
      <c r="A73" s="75"/>
      <c r="B73" s="75"/>
      <c r="C73" s="75"/>
      <c r="D73" s="75"/>
      <c r="E73" s="75"/>
      <c r="F73" s="75"/>
      <c r="G73" s="75"/>
      <c r="H73" s="75"/>
      <c r="I73" s="75"/>
      <c r="J73" s="75"/>
    </row>
    <row r="74" spans="1:10" x14ac:dyDescent="0.25">
      <c r="A74" s="75"/>
      <c r="B74" s="75"/>
      <c r="C74" s="75"/>
      <c r="D74" s="75"/>
      <c r="E74" s="75"/>
      <c r="F74" s="75"/>
      <c r="G74" s="75"/>
      <c r="H74" s="75"/>
      <c r="I74" s="75"/>
      <c r="J74" s="75"/>
    </row>
    <row r="75" spans="1:10" x14ac:dyDescent="0.25">
      <c r="A75" s="75"/>
      <c r="B75" s="75"/>
      <c r="C75" s="75"/>
      <c r="D75" s="75"/>
      <c r="E75" s="75"/>
      <c r="F75" s="75"/>
      <c r="G75" s="75"/>
      <c r="H75" s="75"/>
      <c r="I75" s="75"/>
      <c r="J75" s="75"/>
    </row>
    <row r="76" spans="1:10" x14ac:dyDescent="0.25">
      <c r="A76" s="75"/>
      <c r="B76" s="75"/>
      <c r="C76" s="75"/>
      <c r="D76" s="75"/>
      <c r="E76" s="75"/>
      <c r="F76" s="75"/>
      <c r="G76" s="75"/>
      <c r="H76" s="75"/>
      <c r="I76" s="75"/>
      <c r="J76" s="75"/>
    </row>
    <row r="77" spans="1:10" x14ac:dyDescent="0.25">
      <c r="A77" s="75"/>
      <c r="B77" s="75"/>
      <c r="C77" s="75"/>
      <c r="D77" s="75"/>
      <c r="E77" s="75"/>
      <c r="F77" s="75"/>
      <c r="G77" s="75"/>
      <c r="H77" s="75"/>
      <c r="I77" s="75"/>
      <c r="J77" s="75"/>
    </row>
  </sheetData>
  <mergeCells count="7">
    <mergeCell ref="A41:J67"/>
    <mergeCell ref="A69:J69"/>
    <mergeCell ref="A70:J77"/>
    <mergeCell ref="A1:J1"/>
    <mergeCell ref="A3:J3"/>
    <mergeCell ref="A4:J38"/>
    <mergeCell ref="A40:J4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N45"/>
  <sheetViews>
    <sheetView showGridLines="0" topLeftCell="A19" workbookViewId="0">
      <selection sqref="A1:H1"/>
    </sheetView>
  </sheetViews>
  <sheetFormatPr baseColWidth="10" defaultRowHeight="15" x14ac:dyDescent="0.25"/>
  <cols>
    <col min="1" max="16384" width="11.42578125" style="1"/>
  </cols>
  <sheetData>
    <row r="1" spans="1:8" ht="19.5" x14ac:dyDescent="0.35">
      <c r="A1" s="20" t="s">
        <v>5</v>
      </c>
      <c r="B1" s="20"/>
      <c r="C1" s="20"/>
      <c r="D1" s="20"/>
      <c r="E1" s="20"/>
      <c r="F1" s="20"/>
      <c r="G1" s="20"/>
      <c r="H1" s="20"/>
    </row>
    <row r="3" spans="1:8" x14ac:dyDescent="0.25">
      <c r="A3" s="18" t="s">
        <v>6</v>
      </c>
      <c r="B3" s="18"/>
      <c r="C3" s="18"/>
      <c r="D3" s="18"/>
      <c r="E3" s="21">
        <v>500000</v>
      </c>
      <c r="F3" s="21"/>
      <c r="G3" s="21"/>
    </row>
    <row r="4" spans="1:8" x14ac:dyDescent="0.25">
      <c r="A4" s="22" t="s">
        <v>7</v>
      </c>
      <c r="B4" s="22"/>
      <c r="C4" s="22"/>
      <c r="D4" s="22"/>
      <c r="E4" s="19">
        <v>600000</v>
      </c>
      <c r="F4" s="19"/>
      <c r="G4" s="19"/>
    </row>
    <row r="5" spans="1:8" x14ac:dyDescent="0.25">
      <c r="A5" s="11" t="s">
        <v>3</v>
      </c>
      <c r="B5" s="11"/>
      <c r="C5" s="11"/>
      <c r="D5" s="11"/>
      <c r="E5" s="12">
        <f>E6*E7</f>
        <v>500000</v>
      </c>
      <c r="F5" s="11"/>
      <c r="G5" s="11"/>
    </row>
    <row r="6" spans="1:8" x14ac:dyDescent="0.25">
      <c r="A6" s="14" t="s">
        <v>8</v>
      </c>
      <c r="B6" s="14"/>
      <c r="C6" s="14"/>
      <c r="D6" s="14"/>
      <c r="E6" s="15">
        <v>50000</v>
      </c>
      <c r="F6" s="15"/>
      <c r="G6" s="15"/>
    </row>
    <row r="7" spans="1:8" x14ac:dyDescent="0.25">
      <c r="A7" s="11" t="s">
        <v>9</v>
      </c>
      <c r="B7" s="11"/>
      <c r="C7" s="11"/>
      <c r="D7" s="11"/>
      <c r="E7" s="16">
        <v>10</v>
      </c>
      <c r="F7" s="16"/>
      <c r="G7" s="16"/>
    </row>
    <row r="8" spans="1:8" x14ac:dyDescent="0.25">
      <c r="A8" s="14" t="s">
        <v>10</v>
      </c>
      <c r="B8" s="14"/>
      <c r="C8" s="14"/>
      <c r="D8" s="14"/>
      <c r="E8" s="17">
        <v>3</v>
      </c>
      <c r="F8" s="17"/>
      <c r="G8" s="17"/>
    </row>
    <row r="9" spans="1:8" x14ac:dyDescent="0.25">
      <c r="A9" s="18" t="s">
        <v>11</v>
      </c>
      <c r="B9" s="18"/>
      <c r="C9" s="18"/>
      <c r="D9" s="18"/>
      <c r="E9" s="16">
        <v>2</v>
      </c>
      <c r="F9" s="16"/>
      <c r="G9" s="16"/>
    </row>
    <row r="10" spans="1:8" x14ac:dyDescent="0.25">
      <c r="A10" s="14" t="s">
        <v>13</v>
      </c>
      <c r="B10" s="14"/>
      <c r="C10" s="14"/>
      <c r="D10" s="14"/>
      <c r="E10" s="19">
        <v>3</v>
      </c>
      <c r="F10" s="19"/>
      <c r="G10" s="19"/>
    </row>
    <row r="11" spans="1:8" x14ac:dyDescent="0.25">
      <c r="A11" s="11" t="s">
        <v>14</v>
      </c>
      <c r="B11" s="11"/>
      <c r="C11" s="11"/>
      <c r="D11" s="11"/>
      <c r="E11" s="16">
        <v>100000</v>
      </c>
      <c r="F11" s="16"/>
      <c r="G11" s="16"/>
    </row>
    <row r="12" spans="1:8" x14ac:dyDescent="0.25">
      <c r="A12" s="14" t="s">
        <v>15</v>
      </c>
      <c r="B12" s="14"/>
      <c r="C12" s="14"/>
      <c r="D12" s="14"/>
      <c r="E12" s="19">
        <v>10000</v>
      </c>
      <c r="F12" s="19"/>
      <c r="G12" s="19"/>
    </row>
    <row r="13" spans="1:8" x14ac:dyDescent="0.25">
      <c r="A13" s="11" t="s">
        <v>16</v>
      </c>
      <c r="B13" s="11"/>
      <c r="C13" s="11"/>
      <c r="D13" s="11"/>
      <c r="E13" s="23">
        <v>5</v>
      </c>
      <c r="F13" s="23"/>
      <c r="G13" s="23"/>
    </row>
    <row r="14" spans="1:8" x14ac:dyDescent="0.25">
      <c r="A14" s="14" t="s">
        <v>17</v>
      </c>
      <c r="B14" s="14"/>
      <c r="C14" s="14"/>
      <c r="D14" s="14"/>
      <c r="E14" s="19">
        <v>90000</v>
      </c>
      <c r="F14" s="19"/>
      <c r="G14" s="19"/>
    </row>
    <row r="15" spans="1:8" x14ac:dyDescent="0.25">
      <c r="A15" s="11" t="s">
        <v>18</v>
      </c>
      <c r="B15" s="11"/>
      <c r="C15" s="11"/>
      <c r="D15" s="11"/>
      <c r="E15" s="16">
        <v>50000</v>
      </c>
      <c r="F15" s="16"/>
      <c r="G15" s="16"/>
    </row>
    <row r="16" spans="1:8" x14ac:dyDescent="0.25">
      <c r="A16" s="2"/>
      <c r="B16" s="2"/>
      <c r="C16" s="2"/>
      <c r="D16" s="2"/>
    </row>
    <row r="17" spans="1:14" ht="15.75" x14ac:dyDescent="0.3">
      <c r="A17" s="35"/>
      <c r="B17" s="35"/>
      <c r="C17" s="35"/>
      <c r="D17" s="35"/>
      <c r="E17" s="29" t="s">
        <v>46</v>
      </c>
      <c r="F17" s="29"/>
      <c r="G17" s="29" t="s">
        <v>47</v>
      </c>
      <c r="H17" s="29"/>
      <c r="I17" s="29" t="s">
        <v>72</v>
      </c>
      <c r="J17" s="29"/>
      <c r="K17" s="29" t="s">
        <v>73</v>
      </c>
      <c r="L17" s="29"/>
      <c r="M17" s="29" t="s">
        <v>74</v>
      </c>
      <c r="N17" s="29"/>
    </row>
    <row r="18" spans="1:14" x14ac:dyDescent="0.25">
      <c r="A18" s="10" t="s">
        <v>39</v>
      </c>
      <c r="B18" s="10"/>
      <c r="C18" s="10"/>
      <c r="D18" s="10"/>
      <c r="E18" s="32">
        <f>(E7*0.02)+E7</f>
        <v>10.199999999999999</v>
      </c>
      <c r="F18" s="15"/>
      <c r="G18" s="33">
        <f>E18+(E18*0.02)</f>
        <v>10.404</v>
      </c>
      <c r="H18" s="33"/>
      <c r="I18" s="33">
        <f>E7+(E7*0.06)</f>
        <v>10.6</v>
      </c>
      <c r="J18" s="33"/>
      <c r="K18" s="33">
        <f>E7+(E7*0.08)</f>
        <v>10.8</v>
      </c>
      <c r="L18" s="33"/>
      <c r="M18" s="33">
        <f>E7+(E7*0.1)</f>
        <v>11</v>
      </c>
      <c r="N18" s="33"/>
    </row>
    <row r="19" spans="1:14" x14ac:dyDescent="0.25">
      <c r="A19" s="9" t="s">
        <v>41</v>
      </c>
      <c r="B19" s="9"/>
      <c r="C19" s="9"/>
      <c r="D19" s="9"/>
      <c r="E19" s="9">
        <f>(E6*0.03)+E6</f>
        <v>51500</v>
      </c>
      <c r="F19" s="9"/>
      <c r="G19" s="9">
        <f>E6+(E6*0.06)</f>
        <v>53000</v>
      </c>
      <c r="H19" s="9"/>
      <c r="I19" s="9">
        <f>E6+(E6*0.09)</f>
        <v>54500</v>
      </c>
      <c r="J19" s="9"/>
      <c r="K19" s="9">
        <f>E6+(E6*0.12)</f>
        <v>56000</v>
      </c>
      <c r="L19" s="9"/>
      <c r="M19" s="9">
        <f>E6+(E6*0.15)</f>
        <v>57500</v>
      </c>
      <c r="N19" s="9"/>
    </row>
    <row r="20" spans="1:14" x14ac:dyDescent="0.25">
      <c r="A20" s="10" t="s">
        <v>42</v>
      </c>
      <c r="B20" s="10"/>
      <c r="C20" s="10"/>
      <c r="D20" s="10"/>
      <c r="E20" s="32">
        <f>E10+(E10*0.01)</f>
        <v>3.03</v>
      </c>
      <c r="F20" s="15"/>
      <c r="G20" s="33">
        <f>E10+(E10*0.02)</f>
        <v>3.06</v>
      </c>
      <c r="H20" s="33"/>
      <c r="I20" s="33">
        <f>E10+(E10*0.03)</f>
        <v>3.09</v>
      </c>
      <c r="J20" s="33"/>
      <c r="K20" s="33">
        <f>E10+(E10*0.04)</f>
        <v>3.12</v>
      </c>
      <c r="L20" s="33"/>
      <c r="M20" s="33">
        <f>E10+(E10*0.05)</f>
        <v>3.15</v>
      </c>
      <c r="N20" s="33"/>
    </row>
    <row r="21" spans="1:14" x14ac:dyDescent="0.25">
      <c r="A21" s="9" t="s">
        <v>43</v>
      </c>
      <c r="B21" s="9"/>
      <c r="C21" s="9"/>
      <c r="D21" s="9"/>
      <c r="E21" s="36">
        <f>E9+(E9*0.01)</f>
        <v>2.02</v>
      </c>
      <c r="F21" s="23"/>
      <c r="G21" s="37">
        <f>E9+(E9*0.02)</f>
        <v>2.04</v>
      </c>
      <c r="H21" s="37"/>
      <c r="I21" s="37">
        <f>E9+(E9*0.03)</f>
        <v>2.06</v>
      </c>
      <c r="J21" s="37"/>
      <c r="K21" s="37">
        <f>E9+(E9*0.04)</f>
        <v>2.08</v>
      </c>
      <c r="L21" s="37"/>
      <c r="M21" s="37">
        <f>E9+(E9*0.05)</f>
        <v>2.1</v>
      </c>
      <c r="N21" s="37"/>
    </row>
    <row r="22" spans="1:14" x14ac:dyDescent="0.25">
      <c r="A22" s="10" t="s">
        <v>93</v>
      </c>
      <c r="B22" s="10"/>
      <c r="C22" s="10"/>
      <c r="D22" s="10"/>
      <c r="E22" s="33">
        <f>E8+(E8*0.01)</f>
        <v>3.03</v>
      </c>
      <c r="F22" s="33"/>
      <c r="G22" s="33">
        <f>E8+(E8*0.02)</f>
        <v>3.06</v>
      </c>
      <c r="H22" s="33"/>
      <c r="I22" s="33">
        <f>E8+(E8*0.03)</f>
        <v>3.09</v>
      </c>
      <c r="J22" s="33"/>
      <c r="K22" s="33">
        <f>E8+(E8*0.04)</f>
        <v>3.12</v>
      </c>
      <c r="L22" s="33"/>
      <c r="M22" s="33">
        <f>E8+(E8*0.05)</f>
        <v>3.15</v>
      </c>
      <c r="N22" s="33"/>
    </row>
    <row r="23" spans="1:14" x14ac:dyDescent="0.25">
      <c r="A23" s="2"/>
      <c r="B23" s="2"/>
      <c r="C23" s="2"/>
      <c r="D23" s="2"/>
    </row>
    <row r="24" spans="1:14" x14ac:dyDescent="0.25">
      <c r="D24" s="2"/>
    </row>
    <row r="25" spans="1:14" x14ac:dyDescent="0.25">
      <c r="D25" s="2"/>
    </row>
    <row r="26" spans="1:14" x14ac:dyDescent="0.25">
      <c r="D26" s="2"/>
    </row>
    <row r="27" spans="1:14" x14ac:dyDescent="0.25">
      <c r="D27" s="2"/>
    </row>
    <row r="28" spans="1:14" x14ac:dyDescent="0.25">
      <c r="A28"/>
      <c r="B28"/>
      <c r="C28"/>
      <c r="D28" s="2"/>
    </row>
    <row r="29" spans="1:14" x14ac:dyDescent="0.25">
      <c r="A29"/>
      <c r="B29"/>
      <c r="C29"/>
      <c r="D29" s="2"/>
      <c r="N29"/>
    </row>
    <row r="30" spans="1:14" x14ac:dyDescent="0.25">
      <c r="A30"/>
      <c r="B30"/>
      <c r="C30"/>
      <c r="D30" s="2"/>
      <c r="N30"/>
    </row>
    <row r="31" spans="1:14" x14ac:dyDescent="0.25">
      <c r="A31"/>
      <c r="B31"/>
      <c r="C31"/>
      <c r="D31" s="2"/>
      <c r="N31"/>
    </row>
    <row r="32" spans="1:14" x14ac:dyDescent="0.25">
      <c r="A32"/>
      <c r="B32"/>
      <c r="C32"/>
      <c r="D32" s="2"/>
      <c r="N32"/>
    </row>
    <row r="33" spans="1:14" x14ac:dyDescent="0.25">
      <c r="A33"/>
      <c r="B33"/>
      <c r="C33"/>
      <c r="D33" s="2"/>
      <c r="N33"/>
    </row>
    <row r="34" spans="1:14" x14ac:dyDescent="0.25">
      <c r="A34"/>
      <c r="B34"/>
      <c r="C34"/>
      <c r="D34" s="2"/>
      <c r="N34"/>
    </row>
    <row r="35" spans="1:14" x14ac:dyDescent="0.25">
      <c r="A35"/>
      <c r="B35"/>
      <c r="C35"/>
      <c r="N35"/>
    </row>
    <row r="36" spans="1:14" x14ac:dyDescent="0.25">
      <c r="A36"/>
      <c r="B36"/>
      <c r="C36"/>
      <c r="N36"/>
    </row>
    <row r="37" spans="1:14" x14ac:dyDescent="0.25">
      <c r="A37"/>
      <c r="B37"/>
      <c r="C37"/>
      <c r="N37"/>
    </row>
    <row r="38" spans="1:14" x14ac:dyDescent="0.25">
      <c r="A38"/>
      <c r="B38"/>
      <c r="C38"/>
    </row>
    <row r="39" spans="1:14" x14ac:dyDescent="0.25">
      <c r="A39"/>
      <c r="B39"/>
      <c r="C39"/>
    </row>
    <row r="40" spans="1:14" x14ac:dyDescent="0.25">
      <c r="A40"/>
      <c r="B40"/>
      <c r="C40"/>
    </row>
    <row r="41" spans="1:14" x14ac:dyDescent="0.25">
      <c r="A41"/>
      <c r="B41"/>
      <c r="C41"/>
    </row>
    <row r="42" spans="1:14" x14ac:dyDescent="0.25">
      <c r="A42"/>
      <c r="B42"/>
      <c r="C42"/>
    </row>
    <row r="43" spans="1:14" x14ac:dyDescent="0.25">
      <c r="A43"/>
      <c r="B43"/>
      <c r="C43"/>
    </row>
    <row r="44" spans="1:14" x14ac:dyDescent="0.25">
      <c r="A44"/>
      <c r="B44"/>
      <c r="C44"/>
    </row>
    <row r="45" spans="1:14" x14ac:dyDescent="0.25">
      <c r="A45"/>
      <c r="B45"/>
      <c r="C45"/>
    </row>
  </sheetData>
  <mergeCells count="62">
    <mergeCell ref="M21:N21"/>
    <mergeCell ref="M22:N22"/>
    <mergeCell ref="M17:N17"/>
    <mergeCell ref="G18:H18"/>
    <mergeCell ref="G19:H19"/>
    <mergeCell ref="G20:H20"/>
    <mergeCell ref="G21:H21"/>
    <mergeCell ref="I21:J21"/>
    <mergeCell ref="I20:J20"/>
    <mergeCell ref="I19:J19"/>
    <mergeCell ref="I18:J18"/>
    <mergeCell ref="K18:L18"/>
    <mergeCell ref="K19:L19"/>
    <mergeCell ref="K20:L20"/>
    <mergeCell ref="K21:L21"/>
    <mergeCell ref="M18:N18"/>
    <mergeCell ref="M19:N19"/>
    <mergeCell ref="M20:N20"/>
    <mergeCell ref="A22:D22"/>
    <mergeCell ref="E22:F22"/>
    <mergeCell ref="G17:H17"/>
    <mergeCell ref="I17:J17"/>
    <mergeCell ref="K17:L17"/>
    <mergeCell ref="G22:H22"/>
    <mergeCell ref="I22:J22"/>
    <mergeCell ref="K22:L22"/>
    <mergeCell ref="E11:G11"/>
    <mergeCell ref="A15:D15"/>
    <mergeCell ref="E15:G15"/>
    <mergeCell ref="A12:D12"/>
    <mergeCell ref="E12:G12"/>
    <mergeCell ref="A13:D13"/>
    <mergeCell ref="E13:G13"/>
    <mergeCell ref="A14:D14"/>
    <mergeCell ref="E14:G14"/>
    <mergeCell ref="A1:H1"/>
    <mergeCell ref="A3:D3"/>
    <mergeCell ref="E3:G3"/>
    <mergeCell ref="A4:D4"/>
    <mergeCell ref="E4:G4"/>
    <mergeCell ref="A5:D5"/>
    <mergeCell ref="E5:G5"/>
    <mergeCell ref="A18:D18"/>
    <mergeCell ref="E17:F17"/>
    <mergeCell ref="E18:F18"/>
    <mergeCell ref="A6:D6"/>
    <mergeCell ref="E6:G6"/>
    <mergeCell ref="A7:D7"/>
    <mergeCell ref="E7:G7"/>
    <mergeCell ref="A8:D8"/>
    <mergeCell ref="E8:G8"/>
    <mergeCell ref="A9:D9"/>
    <mergeCell ref="E9:G9"/>
    <mergeCell ref="A10:D10"/>
    <mergeCell ref="E10:G10"/>
    <mergeCell ref="A11:D11"/>
    <mergeCell ref="A19:D19"/>
    <mergeCell ref="E19:F19"/>
    <mergeCell ref="A20:D20"/>
    <mergeCell ref="A21:D21"/>
    <mergeCell ref="E20:F20"/>
    <mergeCell ref="E21:F21"/>
  </mergeCells>
  <pageMargins left="0.7" right="0.7" top="0.75" bottom="0.75" header="0.3" footer="0.3"/>
  <pageSetup paperSize="9"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38"/>
  <sheetViews>
    <sheetView showGridLines="0" topLeftCell="A22" workbookViewId="0">
      <selection sqref="A1:H1"/>
    </sheetView>
  </sheetViews>
  <sheetFormatPr baseColWidth="10" defaultRowHeight="15" x14ac:dyDescent="0.25"/>
  <cols>
    <col min="1" max="1" width="3.5703125" style="1" customWidth="1"/>
    <col min="2" max="9" width="11.42578125" style="1"/>
    <col min="10" max="10" width="15.42578125" style="1" bestFit="1" customWidth="1"/>
    <col min="11" max="16384" width="11.42578125" style="1"/>
  </cols>
  <sheetData>
    <row r="1" spans="1:23" ht="19.5" x14ac:dyDescent="0.35">
      <c r="A1" s="20" t="s">
        <v>0</v>
      </c>
      <c r="B1" s="9"/>
      <c r="C1" s="9"/>
      <c r="D1" s="9"/>
      <c r="E1" s="9"/>
      <c r="F1" s="9"/>
      <c r="G1" s="9"/>
      <c r="H1" s="9"/>
    </row>
    <row r="4" spans="1:23" x14ac:dyDescent="0.25">
      <c r="A4" s="9" t="s">
        <v>1</v>
      </c>
      <c r="B4" s="9"/>
      <c r="C4" s="9"/>
      <c r="D4" s="9"/>
      <c r="E4" s="9"/>
      <c r="F4" s="9"/>
      <c r="G4" s="9"/>
      <c r="H4" s="9"/>
      <c r="I4" s="9"/>
      <c r="J4" s="9"/>
      <c r="K4" s="9"/>
      <c r="L4" s="9"/>
      <c r="M4" s="9"/>
      <c r="N4" s="9"/>
      <c r="O4" s="9"/>
      <c r="P4" s="9"/>
      <c r="Q4" s="9"/>
      <c r="R4" s="9"/>
      <c r="S4" s="9"/>
      <c r="T4" s="9"/>
      <c r="U4" s="9"/>
      <c r="V4" s="9"/>
      <c r="W4" s="9"/>
    </row>
    <row r="5" spans="1:23" x14ac:dyDescent="0.25">
      <c r="A5" s="9" t="s">
        <v>38</v>
      </c>
      <c r="B5" s="9"/>
      <c r="C5" s="9"/>
      <c r="D5" s="9"/>
      <c r="E5" s="9"/>
      <c r="F5" s="9"/>
      <c r="G5" s="9"/>
      <c r="H5" s="9"/>
      <c r="I5" s="9"/>
      <c r="J5" s="9"/>
      <c r="K5" s="9"/>
      <c r="L5" s="9"/>
      <c r="M5" s="9"/>
      <c r="N5" s="9"/>
      <c r="O5" s="9"/>
      <c r="P5" s="9"/>
      <c r="Q5" s="9"/>
      <c r="R5" s="9"/>
      <c r="S5" s="9"/>
      <c r="T5" s="9"/>
      <c r="U5" s="9"/>
      <c r="V5" s="9"/>
      <c r="W5" s="9"/>
    </row>
    <row r="6" spans="1:23" x14ac:dyDescent="0.25">
      <c r="A6" s="9" t="s">
        <v>2</v>
      </c>
      <c r="B6" s="9"/>
      <c r="C6" s="9"/>
      <c r="D6" s="9"/>
      <c r="E6" s="9"/>
      <c r="F6" s="9"/>
      <c r="G6" s="9"/>
      <c r="H6" s="9"/>
      <c r="I6" s="9"/>
      <c r="J6" s="9"/>
      <c r="K6" s="9"/>
      <c r="L6" s="9"/>
      <c r="M6" s="9"/>
      <c r="N6" s="9"/>
      <c r="O6" s="9"/>
      <c r="P6" s="9"/>
      <c r="Q6" s="9"/>
      <c r="R6" s="9"/>
      <c r="S6" s="9"/>
      <c r="T6" s="9"/>
      <c r="U6" s="9"/>
      <c r="V6" s="9"/>
      <c r="W6" s="9"/>
    </row>
    <row r="7" spans="1:23" ht="15.75" x14ac:dyDescent="0.3">
      <c r="A7" s="41"/>
      <c r="B7" s="41"/>
      <c r="C7" s="41"/>
      <c r="D7" s="41"/>
      <c r="E7" s="41"/>
      <c r="F7" s="42" t="s">
        <v>40</v>
      </c>
      <c r="G7" s="42"/>
      <c r="H7" s="42"/>
      <c r="I7" s="43" t="s">
        <v>46</v>
      </c>
      <c r="J7" s="43"/>
      <c r="K7" s="43"/>
      <c r="L7" s="43" t="s">
        <v>47</v>
      </c>
      <c r="M7" s="43"/>
      <c r="N7" s="43"/>
      <c r="O7" s="43" t="s">
        <v>72</v>
      </c>
      <c r="P7" s="43"/>
      <c r="Q7" s="43"/>
      <c r="R7" s="43" t="s">
        <v>73</v>
      </c>
      <c r="S7" s="43"/>
      <c r="T7" s="43"/>
      <c r="U7" s="43" t="s">
        <v>74</v>
      </c>
      <c r="V7" s="43"/>
      <c r="W7" s="43"/>
    </row>
    <row r="8" spans="1:23" x14ac:dyDescent="0.25">
      <c r="A8" s="5"/>
      <c r="B8" s="18" t="s">
        <v>3</v>
      </c>
      <c r="C8" s="18"/>
      <c r="D8" s="18"/>
      <c r="E8" s="18"/>
      <c r="F8" s="16">
        <f>Datos!E5</f>
        <v>500000</v>
      </c>
      <c r="G8" s="16"/>
      <c r="H8" s="16"/>
      <c r="I8" s="12">
        <f>Datos!E18*Datos!E19</f>
        <v>525300</v>
      </c>
      <c r="J8" s="11"/>
      <c r="K8" s="11"/>
      <c r="L8" s="37">
        <f>Datos!G18*Datos!G19</f>
        <v>551412</v>
      </c>
      <c r="M8" s="37"/>
      <c r="N8" s="37"/>
      <c r="O8" s="37">
        <f>Datos!I18*Datos!I19</f>
        <v>577700</v>
      </c>
      <c r="P8" s="37"/>
      <c r="Q8" s="37"/>
      <c r="R8" s="37">
        <f>Datos!K18*Datos!K19</f>
        <v>604800</v>
      </c>
      <c r="S8" s="37"/>
      <c r="T8" s="37"/>
      <c r="U8" s="37">
        <f>Datos!M19*Datos!M18</f>
        <v>632500</v>
      </c>
      <c r="V8" s="37"/>
      <c r="W8" s="37"/>
    </row>
    <row r="9" spans="1:23" x14ac:dyDescent="0.25">
      <c r="A9" s="44" t="s">
        <v>4</v>
      </c>
      <c r="B9" s="14" t="s">
        <v>19</v>
      </c>
      <c r="C9" s="14"/>
      <c r="D9" s="14"/>
      <c r="E9" s="14"/>
      <c r="F9" s="19">
        <f>F8-F10</f>
        <v>68965.517241379304</v>
      </c>
      <c r="G9" s="19"/>
      <c r="H9" s="19"/>
      <c r="I9" s="45">
        <f>I8-I10</f>
        <v>72455.172413793043</v>
      </c>
      <c r="J9" s="14"/>
      <c r="K9" s="14"/>
      <c r="L9" s="33">
        <f>L8-L10</f>
        <v>76056.82758620684</v>
      </c>
      <c r="M9" s="33"/>
      <c r="N9" s="33"/>
      <c r="O9" s="33">
        <f>O8-O10</f>
        <v>79682.758620689623</v>
      </c>
      <c r="P9" s="33"/>
      <c r="Q9" s="33"/>
      <c r="R9" s="33">
        <f>R8-R10</f>
        <v>83420.689655172406</v>
      </c>
      <c r="S9" s="33"/>
      <c r="T9" s="33"/>
      <c r="U9" s="33">
        <f>U8-U10</f>
        <v>87241.379310344812</v>
      </c>
      <c r="V9" s="33"/>
      <c r="W9" s="33"/>
    </row>
    <row r="10" spans="1:23" x14ac:dyDescent="0.25">
      <c r="A10" s="40" t="s">
        <v>12</v>
      </c>
      <c r="B10" s="11" t="s">
        <v>20</v>
      </c>
      <c r="C10" s="11"/>
      <c r="D10" s="11"/>
      <c r="E10" s="11"/>
      <c r="F10" s="16">
        <f>F8/1.16</f>
        <v>431034.4827586207</v>
      </c>
      <c r="G10" s="16"/>
      <c r="H10" s="16"/>
      <c r="I10" s="12">
        <f>I8/1.16</f>
        <v>452844.82758620696</v>
      </c>
      <c r="J10" s="11"/>
      <c r="K10" s="11"/>
      <c r="L10" s="37">
        <f>L8/1.16</f>
        <v>475355.17241379316</v>
      </c>
      <c r="M10" s="37"/>
      <c r="N10" s="37"/>
      <c r="O10" s="37">
        <f>O8/1.16</f>
        <v>498017.24137931038</v>
      </c>
      <c r="P10" s="37"/>
      <c r="Q10" s="37"/>
      <c r="R10" s="37">
        <f>R8/1.16</f>
        <v>521379.31034482759</v>
      </c>
      <c r="S10" s="37"/>
      <c r="T10" s="37"/>
      <c r="U10" s="37">
        <f>U8/1.16</f>
        <v>545258.62068965519</v>
      </c>
      <c r="V10" s="37"/>
      <c r="W10" s="37"/>
    </row>
    <row r="11" spans="1:23" x14ac:dyDescent="0.25">
      <c r="A11" s="44" t="s">
        <v>4</v>
      </c>
      <c r="B11" s="14" t="s">
        <v>21</v>
      </c>
      <c r="C11" s="14"/>
      <c r="D11" s="14"/>
      <c r="E11" s="14"/>
      <c r="F11" s="45">
        <f>Datos!E8*Datos!E6</f>
        <v>150000</v>
      </c>
      <c r="G11" s="14"/>
      <c r="H11" s="14"/>
      <c r="I11" s="45">
        <f>Datos!E19*Datos!E22</f>
        <v>156045</v>
      </c>
      <c r="J11" s="14"/>
      <c r="K11" s="14"/>
      <c r="L11" s="33">
        <f>Datos!G22*Datos!G19</f>
        <v>162180</v>
      </c>
      <c r="M11" s="33"/>
      <c r="N11" s="33"/>
      <c r="O11" s="33">
        <f>Datos!I22*Datos!I19</f>
        <v>168405</v>
      </c>
      <c r="P11" s="33"/>
      <c r="Q11" s="33"/>
      <c r="R11" s="33">
        <f>Datos!K19*Datos!K22</f>
        <v>174720</v>
      </c>
      <c r="S11" s="33"/>
      <c r="T11" s="33"/>
      <c r="U11" s="33">
        <f>Datos!M19*Datos!M22</f>
        <v>181125</v>
      </c>
      <c r="V11" s="33"/>
      <c r="W11" s="33"/>
    </row>
    <row r="12" spans="1:23" x14ac:dyDescent="0.25">
      <c r="A12" s="40" t="s">
        <v>4</v>
      </c>
      <c r="B12" s="11" t="s">
        <v>22</v>
      </c>
      <c r="C12" s="11"/>
      <c r="D12" s="11"/>
      <c r="E12" s="11"/>
      <c r="F12" s="16">
        <f>((Datos!E11-Datos!E12)/Datos!E13)/12</f>
        <v>1500</v>
      </c>
      <c r="G12" s="16"/>
      <c r="H12" s="16"/>
      <c r="I12" s="16">
        <f>((Datos!E11-Datos!E12)/Datos!E13)/12</f>
        <v>1500</v>
      </c>
      <c r="J12" s="16"/>
      <c r="K12" s="16"/>
      <c r="L12" s="37">
        <f>((Datos!E11-Datos!E12)/Datos!E13)/12</f>
        <v>1500</v>
      </c>
      <c r="M12" s="37"/>
      <c r="N12" s="37"/>
      <c r="O12" s="37">
        <f>L12</f>
        <v>1500</v>
      </c>
      <c r="P12" s="37"/>
      <c r="Q12" s="37"/>
      <c r="R12" s="37">
        <f>F12</f>
        <v>1500</v>
      </c>
      <c r="S12" s="37"/>
      <c r="T12" s="37"/>
      <c r="U12" s="37">
        <f>F12</f>
        <v>1500</v>
      </c>
      <c r="V12" s="37"/>
      <c r="W12" s="37"/>
    </row>
    <row r="13" spans="1:23" x14ac:dyDescent="0.25">
      <c r="A13" s="44" t="s">
        <v>12</v>
      </c>
      <c r="B13" s="14" t="s">
        <v>23</v>
      </c>
      <c r="C13" s="14"/>
      <c r="D13" s="14"/>
      <c r="E13" s="14"/>
      <c r="F13" s="45">
        <f>F10-(F11+F12)</f>
        <v>279534.4827586207</v>
      </c>
      <c r="G13" s="14"/>
      <c r="H13" s="14"/>
      <c r="I13" s="45">
        <f>I10-(I11+I12)</f>
        <v>295299.82758620696</v>
      </c>
      <c r="J13" s="14"/>
      <c r="K13" s="14"/>
      <c r="L13" s="33">
        <f>L10-(L11+L12)</f>
        <v>311675.17241379316</v>
      </c>
      <c r="M13" s="33"/>
      <c r="N13" s="33"/>
      <c r="O13" s="33">
        <f>O10-(O11+O12)</f>
        <v>328112.24137931038</v>
      </c>
      <c r="P13" s="33"/>
      <c r="Q13" s="33"/>
      <c r="R13" s="33">
        <f>R10-(R11+R12)</f>
        <v>345159.31034482759</v>
      </c>
      <c r="S13" s="33"/>
      <c r="T13" s="33"/>
      <c r="U13" s="33">
        <f>U10-(U11+U12)</f>
        <v>362633.62068965519</v>
      </c>
      <c r="V13" s="33"/>
      <c r="W13" s="33"/>
    </row>
    <row r="14" spans="1:23" x14ac:dyDescent="0.25">
      <c r="A14" s="40" t="s">
        <v>4</v>
      </c>
      <c r="B14" s="11" t="s">
        <v>24</v>
      </c>
      <c r="C14" s="11"/>
      <c r="D14" s="11"/>
      <c r="E14" s="11"/>
      <c r="F14" s="12">
        <f>Datos!E10*Datos!E6</f>
        <v>150000</v>
      </c>
      <c r="G14" s="11"/>
      <c r="H14" s="11"/>
      <c r="I14" s="12">
        <f>Datos!E20*Datos!E19</f>
        <v>156045</v>
      </c>
      <c r="J14" s="11"/>
      <c r="K14" s="11"/>
      <c r="L14" s="37">
        <f>Datos!G19*Datos!G20</f>
        <v>162180</v>
      </c>
      <c r="M14" s="37"/>
      <c r="N14" s="37"/>
      <c r="O14" s="37">
        <f>Datos!I20*Datos!I19</f>
        <v>168405</v>
      </c>
      <c r="P14" s="37"/>
      <c r="Q14" s="37"/>
      <c r="R14" s="37">
        <f>Datos!K20*Datos!K19</f>
        <v>174720</v>
      </c>
      <c r="S14" s="37"/>
      <c r="T14" s="37"/>
      <c r="U14" s="37">
        <f>Datos!M20*Datos!M19</f>
        <v>181125</v>
      </c>
      <c r="V14" s="37"/>
      <c r="W14" s="37"/>
    </row>
    <row r="15" spans="1:23" x14ac:dyDescent="0.25">
      <c r="A15" s="44" t="s">
        <v>4</v>
      </c>
      <c r="B15" s="14" t="s">
        <v>25</v>
      </c>
      <c r="C15" s="14"/>
      <c r="D15" s="14"/>
      <c r="E15" s="14"/>
      <c r="F15" s="45">
        <f>Datos!E9*Datos!E6</f>
        <v>100000</v>
      </c>
      <c r="G15" s="14"/>
      <c r="H15" s="14"/>
      <c r="I15" s="45">
        <f>Datos!E21*Datos!E19</f>
        <v>104030</v>
      </c>
      <c r="J15" s="14"/>
      <c r="K15" s="14"/>
      <c r="L15" s="33">
        <f>Datos!G21*Datos!G19</f>
        <v>108120</v>
      </c>
      <c r="M15" s="33"/>
      <c r="N15" s="33"/>
      <c r="O15" s="33">
        <f>Datos!I21*Datos!I19</f>
        <v>112270</v>
      </c>
      <c r="P15" s="33"/>
      <c r="Q15" s="33"/>
      <c r="R15" s="33">
        <f>Datos!K19*Datos!K21</f>
        <v>116480</v>
      </c>
      <c r="S15" s="33"/>
      <c r="T15" s="33"/>
      <c r="U15" s="33">
        <f>Datos!M19*Datos!M21</f>
        <v>120750</v>
      </c>
      <c r="V15" s="33"/>
      <c r="W15" s="33"/>
    </row>
    <row r="16" spans="1:23" x14ac:dyDescent="0.25">
      <c r="A16" s="40" t="s">
        <v>12</v>
      </c>
      <c r="B16" s="11" t="s">
        <v>26</v>
      </c>
      <c r="C16" s="11"/>
      <c r="D16" s="11"/>
      <c r="E16" s="11"/>
      <c r="F16" s="12">
        <f>F13-(F14+F15)</f>
        <v>29534.482758620696</v>
      </c>
      <c r="G16" s="11"/>
      <c r="H16" s="11"/>
      <c r="I16" s="12">
        <f>I13-(I14+I15)</f>
        <v>35224.827586206957</v>
      </c>
      <c r="J16" s="11"/>
      <c r="K16" s="11"/>
      <c r="L16" s="37">
        <f>L13-(L14+L15)</f>
        <v>41375.17241379316</v>
      </c>
      <c r="M16" s="37"/>
      <c r="N16" s="37"/>
      <c r="O16" s="37">
        <f>O13-(O14+O15)</f>
        <v>47437.241379310377</v>
      </c>
      <c r="P16" s="37"/>
      <c r="Q16" s="37"/>
      <c r="R16" s="37">
        <f>R13-(R14+R15)</f>
        <v>53959.310344827594</v>
      </c>
      <c r="S16" s="37"/>
      <c r="T16" s="37"/>
      <c r="U16" s="37">
        <f>U13-(U14+U15)</f>
        <v>60758.620689655188</v>
      </c>
      <c r="V16" s="37"/>
      <c r="W16" s="37"/>
    </row>
    <row r="17" spans="1:23" x14ac:dyDescent="0.25">
      <c r="A17" s="44" t="s">
        <v>4</v>
      </c>
      <c r="B17" s="22" t="s">
        <v>27</v>
      </c>
      <c r="C17" s="22"/>
      <c r="D17" s="22"/>
      <c r="E17" s="22"/>
      <c r="F17" s="19">
        <f>Datos!E15*(0.02)</f>
        <v>1000</v>
      </c>
      <c r="G17" s="19"/>
      <c r="H17" s="19"/>
      <c r="I17" s="19">
        <f>IF(FNE!C22&lt;0, (FNE!C22)*(0.02)*(-1),0)</f>
        <v>0</v>
      </c>
      <c r="J17" s="19"/>
      <c r="K17" s="19"/>
      <c r="L17" s="33">
        <f>IF(FNE!E22&lt;0, (FNE!E22)*(0.02)*(-1),0)</f>
        <v>0</v>
      </c>
      <c r="M17" s="33"/>
      <c r="N17" s="33"/>
      <c r="O17" s="33">
        <f>IF(FNE!G22&lt;0, (FNE!G22)*(0.02)*(-1),0)</f>
        <v>0</v>
      </c>
      <c r="P17" s="33"/>
      <c r="Q17" s="33"/>
      <c r="R17" s="33">
        <f>IF(FNE!I22&lt;0, (FNE!I22)*(0.02)*(-1),0)</f>
        <v>0</v>
      </c>
      <c r="S17" s="33"/>
      <c r="T17" s="33"/>
      <c r="U17" s="33">
        <f>IF(FNE!K22&lt;0, (FNE!K22)*(0.02)*(-1),0)</f>
        <v>0</v>
      </c>
      <c r="V17" s="33"/>
      <c r="W17" s="33"/>
    </row>
    <row r="18" spans="1:23" x14ac:dyDescent="0.25">
      <c r="A18" s="40" t="s">
        <v>12</v>
      </c>
      <c r="B18" s="11" t="s">
        <v>28</v>
      </c>
      <c r="C18" s="11"/>
      <c r="D18" s="11"/>
      <c r="E18" s="11"/>
      <c r="F18" s="21">
        <f>F16-F17</f>
        <v>28534.482758620696</v>
      </c>
      <c r="G18" s="21"/>
      <c r="H18" s="21"/>
      <c r="I18" s="12">
        <f>I16-I17</f>
        <v>35224.827586206957</v>
      </c>
      <c r="J18" s="11"/>
      <c r="K18" s="11"/>
      <c r="L18" s="37">
        <f>L16-L17</f>
        <v>41375.17241379316</v>
      </c>
      <c r="M18" s="37"/>
      <c r="N18" s="37"/>
      <c r="O18" s="37">
        <f>O16-O17</f>
        <v>47437.241379310377</v>
      </c>
      <c r="P18" s="37"/>
      <c r="Q18" s="37"/>
      <c r="R18" s="37">
        <f>R16-R17</f>
        <v>53959.310344827594</v>
      </c>
      <c r="S18" s="37"/>
      <c r="T18" s="37"/>
      <c r="U18" s="37">
        <f>U16-U17</f>
        <v>60758.620689655188</v>
      </c>
      <c r="V18" s="37"/>
      <c r="W18" s="37"/>
    </row>
    <row r="19" spans="1:23" x14ac:dyDescent="0.25">
      <c r="A19" s="44" t="s">
        <v>4</v>
      </c>
      <c r="B19" s="14" t="s">
        <v>29</v>
      </c>
      <c r="C19" s="14"/>
      <c r="D19" s="14"/>
      <c r="E19" s="14"/>
      <c r="F19" s="19">
        <v>0</v>
      </c>
      <c r="G19" s="19"/>
      <c r="H19" s="19"/>
      <c r="I19" s="19">
        <v>0</v>
      </c>
      <c r="J19" s="19"/>
      <c r="K19" s="19"/>
      <c r="L19" s="33">
        <f>L18*F25</f>
        <v>8275.0344827586323</v>
      </c>
      <c r="M19" s="33"/>
      <c r="N19" s="33"/>
      <c r="O19" s="33">
        <f>O18*F25</f>
        <v>9487.4482758620761</v>
      </c>
      <c r="P19" s="33"/>
      <c r="Q19" s="33"/>
      <c r="R19" s="33">
        <f>R18*F26</f>
        <v>13489.827586206899</v>
      </c>
      <c r="S19" s="33"/>
      <c r="T19" s="33"/>
      <c r="U19" s="33">
        <f>U18*F26</f>
        <v>15189.655172413797</v>
      </c>
      <c r="V19" s="33"/>
      <c r="W19" s="33"/>
    </row>
    <row r="20" spans="1:23" x14ac:dyDescent="0.25">
      <c r="A20" s="40" t="s">
        <v>12</v>
      </c>
      <c r="B20" s="11" t="s">
        <v>30</v>
      </c>
      <c r="C20" s="11"/>
      <c r="D20" s="11"/>
      <c r="E20" s="11"/>
      <c r="F20" s="12">
        <f>F18-F19</f>
        <v>28534.482758620696</v>
      </c>
      <c r="G20" s="11"/>
      <c r="H20" s="11"/>
      <c r="I20" s="12">
        <f>I18-I19</f>
        <v>35224.827586206957</v>
      </c>
      <c r="J20" s="11"/>
      <c r="K20" s="11"/>
      <c r="L20" s="37">
        <f>L18-(L18*F25)</f>
        <v>33100.137931034529</v>
      </c>
      <c r="M20" s="37"/>
      <c r="N20" s="37"/>
      <c r="O20" s="37">
        <f>O18-(O18*F25)</f>
        <v>37949.793103448304</v>
      </c>
      <c r="P20" s="37"/>
      <c r="Q20" s="37"/>
      <c r="R20" s="37">
        <f>R18-(R18*F26)</f>
        <v>40469.482758620696</v>
      </c>
      <c r="S20" s="37"/>
      <c r="T20" s="37"/>
      <c r="U20" s="37">
        <f>U18-(U18*F26)</f>
        <v>45568.965517241391</v>
      </c>
      <c r="V20" s="37"/>
      <c r="W20" s="37"/>
    </row>
    <row r="22" spans="1:23" ht="15.75" x14ac:dyDescent="0.3">
      <c r="B22" s="29" t="s">
        <v>95</v>
      </c>
      <c r="C22" s="29"/>
      <c r="D22" s="29"/>
      <c r="E22" s="29"/>
      <c r="F22" s="29" t="s">
        <v>96</v>
      </c>
      <c r="G22" s="29"/>
    </row>
    <row r="23" spans="1:23" x14ac:dyDescent="0.25">
      <c r="B23" s="31">
        <v>0</v>
      </c>
      <c r="C23" s="31"/>
      <c r="D23" s="31">
        <v>999</v>
      </c>
      <c r="E23" s="31"/>
      <c r="F23" s="47">
        <v>0.1</v>
      </c>
      <c r="G23" s="47"/>
    </row>
    <row r="24" spans="1:23" x14ac:dyDescent="0.25">
      <c r="B24" s="27">
        <v>1000</v>
      </c>
      <c r="C24" s="27"/>
      <c r="D24" s="27">
        <v>9999</v>
      </c>
      <c r="E24" s="27"/>
      <c r="F24" s="48">
        <v>0.15</v>
      </c>
      <c r="G24" s="48"/>
      <c r="J24" s="38"/>
    </row>
    <row r="25" spans="1:23" x14ac:dyDescent="0.25">
      <c r="B25" s="31">
        <v>10000</v>
      </c>
      <c r="C25" s="31"/>
      <c r="D25" s="31">
        <v>49999</v>
      </c>
      <c r="E25" s="31"/>
      <c r="F25" s="47">
        <v>0.2</v>
      </c>
      <c r="G25" s="47"/>
    </row>
    <row r="26" spans="1:23" x14ac:dyDescent="0.25">
      <c r="B26" s="27">
        <v>50000</v>
      </c>
      <c r="C26" s="27"/>
      <c r="D26" s="27">
        <v>99999</v>
      </c>
      <c r="E26" s="27"/>
      <c r="F26" s="48">
        <v>0.25</v>
      </c>
      <c r="G26" s="48"/>
    </row>
    <row r="27" spans="1:23" x14ac:dyDescent="0.25">
      <c r="B27" s="31">
        <v>100000</v>
      </c>
      <c r="C27" s="31"/>
      <c r="D27" s="31">
        <v>499999</v>
      </c>
      <c r="E27" s="31"/>
      <c r="F27" s="47">
        <v>0.3</v>
      </c>
      <c r="G27" s="47"/>
    </row>
    <row r="28" spans="1:23" x14ac:dyDescent="0.25">
      <c r="B28" s="27">
        <v>500000</v>
      </c>
      <c r="C28" s="27"/>
      <c r="D28" s="27"/>
      <c r="E28" s="27"/>
      <c r="F28" s="48">
        <v>0.35</v>
      </c>
      <c r="G28" s="48"/>
    </row>
    <row r="30" spans="1:23" x14ac:dyDescent="0.25">
      <c r="E30" s="7"/>
    </row>
    <row r="31" spans="1:23" x14ac:dyDescent="0.25">
      <c r="E31" s="7"/>
    </row>
    <row r="32" spans="1:23" x14ac:dyDescent="0.25">
      <c r="E32" s="7"/>
    </row>
    <row r="33" spans="2:15" x14ac:dyDescent="0.25">
      <c r="B33"/>
      <c r="C33"/>
      <c r="D33"/>
      <c r="E33" s="7"/>
    </row>
    <row r="34" spans="2:15" x14ac:dyDescent="0.25">
      <c r="B34"/>
      <c r="C34"/>
      <c r="D34"/>
      <c r="E34" s="7"/>
      <c r="O34"/>
    </row>
    <row r="35" spans="2:15" x14ac:dyDescent="0.25">
      <c r="B35"/>
      <c r="C35"/>
      <c r="D35"/>
      <c r="E35" s="7"/>
      <c r="O35"/>
    </row>
    <row r="36" spans="2:15" x14ac:dyDescent="0.25">
      <c r="B36"/>
      <c r="C36"/>
      <c r="D36"/>
      <c r="E36" s="7"/>
      <c r="O36"/>
    </row>
    <row r="37" spans="2:15" x14ac:dyDescent="0.25">
      <c r="B37"/>
      <c r="C37"/>
      <c r="D37"/>
      <c r="E37" s="7"/>
      <c r="O37"/>
    </row>
    <row r="38" spans="2:15" x14ac:dyDescent="0.25">
      <c r="B38"/>
      <c r="C38"/>
      <c r="D38"/>
      <c r="E38" s="7"/>
      <c r="O38"/>
    </row>
  </sheetData>
  <mergeCells count="121">
    <mergeCell ref="F26:G26"/>
    <mergeCell ref="F27:G27"/>
    <mergeCell ref="F28:G28"/>
    <mergeCell ref="B26:C26"/>
    <mergeCell ref="B27:C27"/>
    <mergeCell ref="B28:C28"/>
    <mergeCell ref="D26:E26"/>
    <mergeCell ref="D27:E27"/>
    <mergeCell ref="D28:E28"/>
    <mergeCell ref="B24:C24"/>
    <mergeCell ref="D24:E24"/>
    <mergeCell ref="F24:G24"/>
    <mergeCell ref="F25:G25"/>
    <mergeCell ref="D25:E25"/>
    <mergeCell ref="B25:C25"/>
    <mergeCell ref="B22:E22"/>
    <mergeCell ref="F22:G22"/>
    <mergeCell ref="B23:C23"/>
    <mergeCell ref="D23:E23"/>
    <mergeCell ref="F23:G23"/>
    <mergeCell ref="U16:W16"/>
    <mergeCell ref="U17:W17"/>
    <mergeCell ref="U18:W18"/>
    <mergeCell ref="U19:W19"/>
    <mergeCell ref="U20:W20"/>
    <mergeCell ref="U11:W11"/>
    <mergeCell ref="U12:W12"/>
    <mergeCell ref="U13:W13"/>
    <mergeCell ref="U14:W14"/>
    <mergeCell ref="U15:W15"/>
    <mergeCell ref="R10:T10"/>
    <mergeCell ref="R9:T9"/>
    <mergeCell ref="R8:T8"/>
    <mergeCell ref="U8:W8"/>
    <mergeCell ref="U9:W9"/>
    <mergeCell ref="U10:W10"/>
    <mergeCell ref="R15:T15"/>
    <mergeCell ref="R14:T14"/>
    <mergeCell ref="R13:T13"/>
    <mergeCell ref="R12:T12"/>
    <mergeCell ref="R11:T11"/>
    <mergeCell ref="R20:T20"/>
    <mergeCell ref="R19:T19"/>
    <mergeCell ref="R18:T18"/>
    <mergeCell ref="R17:T17"/>
    <mergeCell ref="R16:T16"/>
    <mergeCell ref="L19:N19"/>
    <mergeCell ref="L20:N20"/>
    <mergeCell ref="O8:Q8"/>
    <mergeCell ref="O9:Q9"/>
    <mergeCell ref="O10:Q10"/>
    <mergeCell ref="O11:Q11"/>
    <mergeCell ref="O12:Q12"/>
    <mergeCell ref="O13:Q13"/>
    <mergeCell ref="O14:Q14"/>
    <mergeCell ref="O15:Q15"/>
    <mergeCell ref="O16:Q16"/>
    <mergeCell ref="O17:Q17"/>
    <mergeCell ref="O18:Q18"/>
    <mergeCell ref="O19:Q19"/>
    <mergeCell ref="O20:Q20"/>
    <mergeCell ref="L14:N14"/>
    <mergeCell ref="L15:N15"/>
    <mergeCell ref="L16:N16"/>
    <mergeCell ref="L17:N17"/>
    <mergeCell ref="L18:N18"/>
    <mergeCell ref="L9:N9"/>
    <mergeCell ref="L10:N10"/>
    <mergeCell ref="L11:N11"/>
    <mergeCell ref="L12:N12"/>
    <mergeCell ref="L13:N13"/>
    <mergeCell ref="L7:N7"/>
    <mergeCell ref="O7:Q7"/>
    <mergeCell ref="R7:T7"/>
    <mergeCell ref="U7:W7"/>
    <mergeCell ref="L8:N8"/>
    <mergeCell ref="B19:E19"/>
    <mergeCell ref="F19:H19"/>
    <mergeCell ref="B20:E20"/>
    <mergeCell ref="F20:H20"/>
    <mergeCell ref="B16:E16"/>
    <mergeCell ref="F16:H16"/>
    <mergeCell ref="B17:E17"/>
    <mergeCell ref="F17:H17"/>
    <mergeCell ref="B18:E18"/>
    <mergeCell ref="F18:H18"/>
    <mergeCell ref="B13:E13"/>
    <mergeCell ref="F13:H13"/>
    <mergeCell ref="B14:E14"/>
    <mergeCell ref="F14:H14"/>
    <mergeCell ref="B15:E15"/>
    <mergeCell ref="F15:H15"/>
    <mergeCell ref="B11:E11"/>
    <mergeCell ref="F11:H11"/>
    <mergeCell ref="B9:E9"/>
    <mergeCell ref="B12:E12"/>
    <mergeCell ref="F12:H12"/>
    <mergeCell ref="A1:H1"/>
    <mergeCell ref="B8:E8"/>
    <mergeCell ref="F7:H7"/>
    <mergeCell ref="B10:E10"/>
    <mergeCell ref="F8:H8"/>
    <mergeCell ref="F9:H9"/>
    <mergeCell ref="F10:H10"/>
    <mergeCell ref="A4:W4"/>
    <mergeCell ref="A5:W5"/>
    <mergeCell ref="A6:W6"/>
    <mergeCell ref="I18:K18"/>
    <mergeCell ref="I19:K19"/>
    <mergeCell ref="I20:K20"/>
    <mergeCell ref="I7:K7"/>
    <mergeCell ref="I13:K13"/>
    <mergeCell ref="I14:K14"/>
    <mergeCell ref="I15:K15"/>
    <mergeCell ref="I16:K16"/>
    <mergeCell ref="I17:K17"/>
    <mergeCell ref="I8:K8"/>
    <mergeCell ref="I9:K9"/>
    <mergeCell ref="I10:K10"/>
    <mergeCell ref="I11:K11"/>
    <mergeCell ref="I12:K12"/>
  </mergeCells>
  <pageMargins left="0.7" right="0.7" top="0.75" bottom="0.75" header="0.3" footer="0.3"/>
  <pageSetup paperSize="9" orientation="portrait" horizontalDpi="0"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Z40"/>
  <sheetViews>
    <sheetView showGridLines="0" topLeftCell="A22" workbookViewId="0">
      <selection sqref="A1:I1"/>
    </sheetView>
  </sheetViews>
  <sheetFormatPr baseColWidth="10" defaultRowHeight="15" x14ac:dyDescent="0.25"/>
  <cols>
    <col min="1" max="16384" width="11.42578125" style="1"/>
  </cols>
  <sheetData>
    <row r="1" spans="1:14" ht="19.5" x14ac:dyDescent="0.35">
      <c r="A1" s="20" t="s">
        <v>44</v>
      </c>
      <c r="B1" s="20"/>
      <c r="C1" s="20"/>
      <c r="D1" s="20"/>
      <c r="E1" s="20"/>
      <c r="F1" s="20"/>
      <c r="G1" s="20"/>
      <c r="H1" s="20"/>
      <c r="I1" s="20"/>
    </row>
    <row r="3" spans="1:14" ht="15.75" x14ac:dyDescent="0.3">
      <c r="A3" s="30" t="s">
        <v>45</v>
      </c>
      <c r="B3" s="30"/>
      <c r="C3" s="30" t="s">
        <v>40</v>
      </c>
      <c r="D3" s="30"/>
      <c r="E3" s="30" t="s">
        <v>46</v>
      </c>
      <c r="F3" s="30"/>
      <c r="G3" s="30" t="s">
        <v>47</v>
      </c>
      <c r="H3" s="30"/>
      <c r="I3" s="30" t="s">
        <v>72</v>
      </c>
      <c r="J3" s="30"/>
      <c r="K3" s="30" t="s">
        <v>73</v>
      </c>
      <c r="L3" s="30"/>
      <c r="M3" s="30" t="s">
        <v>74</v>
      </c>
      <c r="N3" s="30"/>
    </row>
    <row r="4" spans="1:14" x14ac:dyDescent="0.25">
      <c r="A4" s="10" t="s">
        <v>48</v>
      </c>
      <c r="B4" s="10"/>
      <c r="C4" s="51">
        <f>Datos!E14</f>
        <v>90000</v>
      </c>
      <c r="D4" s="10"/>
      <c r="E4" s="51">
        <f>'Balance General'!F11</f>
        <v>130034.4827586207</v>
      </c>
      <c r="F4" s="10"/>
      <c r="G4" s="52">
        <f>'Balance General'!H11</f>
        <v>151579.31034482771</v>
      </c>
      <c r="H4" s="52"/>
      <c r="I4" s="52">
        <f>'Balance General'!J11</f>
        <v>170512.24827586231</v>
      </c>
      <c r="J4" s="52"/>
      <c r="K4" s="52">
        <f>'Balance General'!L11</f>
        <v>194189.24137931061</v>
      </c>
      <c r="L4" s="52"/>
      <c r="M4" s="52">
        <f>'Balance General'!N11</f>
        <v>219898.72413793136</v>
      </c>
      <c r="N4" s="52"/>
    </row>
    <row r="5" spans="1:14" x14ac:dyDescent="0.25">
      <c r="A5" s="10" t="s">
        <v>49</v>
      </c>
      <c r="B5" s="10"/>
      <c r="C5" s="51">
        <f>Datos!E5*0.4</f>
        <v>200000</v>
      </c>
      <c r="D5" s="10"/>
      <c r="E5" s="51">
        <f>J28</f>
        <v>210120</v>
      </c>
      <c r="F5" s="10"/>
      <c r="G5" s="52">
        <f>M28</f>
        <v>220564.80000000002</v>
      </c>
      <c r="H5" s="52"/>
      <c r="I5" s="52">
        <f>P28</f>
        <v>231080</v>
      </c>
      <c r="J5" s="52"/>
      <c r="K5" s="52">
        <f>S28</f>
        <v>241920</v>
      </c>
      <c r="L5" s="52"/>
      <c r="M5" s="52">
        <f>V28</f>
        <v>253000</v>
      </c>
      <c r="N5" s="52"/>
    </row>
    <row r="6" spans="1:14" x14ac:dyDescent="0.25">
      <c r="A6" s="10" t="s">
        <v>50</v>
      </c>
      <c r="B6" s="10"/>
      <c r="C6" s="51">
        <f>Datos!E4*0.6</f>
        <v>360000</v>
      </c>
      <c r="D6" s="10"/>
      <c r="E6" s="51">
        <f>J29</f>
        <v>300000</v>
      </c>
      <c r="F6" s="10"/>
      <c r="G6" s="52">
        <f>M29</f>
        <v>315180</v>
      </c>
      <c r="H6" s="52"/>
      <c r="I6" s="52">
        <f>P29</f>
        <v>330847.2</v>
      </c>
      <c r="J6" s="52"/>
      <c r="K6" s="52">
        <f>S29</f>
        <v>346620</v>
      </c>
      <c r="L6" s="52"/>
      <c r="M6" s="52">
        <f>V29</f>
        <v>362880</v>
      </c>
      <c r="N6" s="52"/>
    </row>
    <row r="7" spans="1:14" ht="15.75" x14ac:dyDescent="0.3">
      <c r="A7" s="30" t="s">
        <v>51</v>
      </c>
      <c r="B7" s="30"/>
      <c r="C7" s="62">
        <f>C4+C5+C6</f>
        <v>650000</v>
      </c>
      <c r="D7" s="30"/>
      <c r="E7" s="62">
        <f>E4+E5+E6</f>
        <v>640154.48275862075</v>
      </c>
      <c r="F7" s="30"/>
      <c r="G7" s="63">
        <f>G4+G5+G6</f>
        <v>687324.11034482776</v>
      </c>
      <c r="H7" s="63"/>
      <c r="I7" s="63">
        <f>I4+I5+I6</f>
        <v>732439.44827586226</v>
      </c>
      <c r="J7" s="63"/>
      <c r="K7" s="63">
        <f>K4+K5+K6</f>
        <v>782729.24137931061</v>
      </c>
      <c r="L7" s="63"/>
      <c r="M7" s="63">
        <f>M4+M5+M6</f>
        <v>835778.72413793136</v>
      </c>
      <c r="N7" s="63"/>
    </row>
    <row r="9" spans="1:14" ht="15.75" x14ac:dyDescent="0.3">
      <c r="A9" s="50" t="s">
        <v>52</v>
      </c>
      <c r="B9" s="50"/>
      <c r="C9" s="50" t="s">
        <v>40</v>
      </c>
      <c r="D9" s="50"/>
      <c r="E9" s="50" t="s">
        <v>46</v>
      </c>
      <c r="F9" s="50"/>
      <c r="G9" s="50" t="s">
        <v>47</v>
      </c>
      <c r="H9" s="50"/>
      <c r="I9" s="50" t="s">
        <v>72</v>
      </c>
      <c r="J9" s="50"/>
      <c r="K9" s="50" t="s">
        <v>73</v>
      </c>
      <c r="L9" s="50"/>
      <c r="M9" s="50" t="s">
        <v>74</v>
      </c>
      <c r="N9" s="50"/>
    </row>
    <row r="10" spans="1:14" x14ac:dyDescent="0.25">
      <c r="A10" s="53" t="s">
        <v>19</v>
      </c>
      <c r="B10" s="53"/>
      <c r="C10" s="54">
        <f>'Estado de resultados'!F9</f>
        <v>68965.517241379304</v>
      </c>
      <c r="D10" s="53"/>
      <c r="E10" s="54">
        <f>'Estado de resultados'!I9</f>
        <v>72455.172413793043</v>
      </c>
      <c r="F10" s="53"/>
      <c r="G10" s="55">
        <f>'Estado de resultados'!L9</f>
        <v>76056.82758620684</v>
      </c>
      <c r="H10" s="55"/>
      <c r="I10" s="55">
        <f>'Estado de resultados'!O9</f>
        <v>79682.758620689623</v>
      </c>
      <c r="J10" s="55"/>
      <c r="K10" s="55">
        <f>'Estado de resultados'!R9</f>
        <v>83420.689655172406</v>
      </c>
      <c r="L10" s="55"/>
      <c r="M10" s="55">
        <f>'Estado de resultados'!U9</f>
        <v>87241.379310344812</v>
      </c>
      <c r="N10" s="55"/>
    </row>
    <row r="11" spans="1:14" x14ac:dyDescent="0.25">
      <c r="A11" s="56" t="s">
        <v>53</v>
      </c>
      <c r="B11" s="56"/>
      <c r="C11" s="54">
        <f>'Estado de resultados'!F11</f>
        <v>150000</v>
      </c>
      <c r="D11" s="53"/>
      <c r="E11" s="54">
        <f>'Estado de resultados'!I11</f>
        <v>156045</v>
      </c>
      <c r="F11" s="53"/>
      <c r="G11" s="55">
        <f>'Estado de resultados'!L11</f>
        <v>162180</v>
      </c>
      <c r="H11" s="55"/>
      <c r="I11" s="55">
        <f>'Estado de resultados'!O11</f>
        <v>168405</v>
      </c>
      <c r="J11" s="55"/>
      <c r="K11" s="55">
        <f>'Estado de resultados'!R11</f>
        <v>174720</v>
      </c>
      <c r="L11" s="55"/>
      <c r="M11" s="55">
        <f>'Estado de resultados'!U11</f>
        <v>181125</v>
      </c>
      <c r="N11" s="55"/>
    </row>
    <row r="12" spans="1:14" x14ac:dyDescent="0.25">
      <c r="A12" s="53" t="s">
        <v>54</v>
      </c>
      <c r="B12" s="53"/>
      <c r="C12" s="54">
        <f>'Estado de resultados'!F15</f>
        <v>100000</v>
      </c>
      <c r="D12" s="53"/>
      <c r="E12" s="54">
        <f>'Estado de resultados'!I15</f>
        <v>104030</v>
      </c>
      <c r="F12" s="53"/>
      <c r="G12" s="55">
        <f>'Estado de resultados'!L15</f>
        <v>108120</v>
      </c>
      <c r="H12" s="55"/>
      <c r="I12" s="55">
        <f>'Estado de resultados'!O15</f>
        <v>112270</v>
      </c>
      <c r="J12" s="55"/>
      <c r="K12" s="55">
        <f>'Estado de resultados'!R15</f>
        <v>116480</v>
      </c>
      <c r="L12" s="55"/>
      <c r="M12" s="55">
        <f>'Estado de resultados'!U15</f>
        <v>120750</v>
      </c>
      <c r="N12" s="55"/>
    </row>
    <row r="13" spans="1:14" x14ac:dyDescent="0.25">
      <c r="A13" s="53" t="s">
        <v>55</v>
      </c>
      <c r="B13" s="53"/>
      <c r="C13" s="54">
        <f>'Estado de resultados'!F14</f>
        <v>150000</v>
      </c>
      <c r="D13" s="53"/>
      <c r="E13" s="54">
        <f>'Estado de resultados'!I14</f>
        <v>156045</v>
      </c>
      <c r="F13" s="53"/>
      <c r="G13" s="55">
        <f>'Estado de resultados'!L14</f>
        <v>162180</v>
      </c>
      <c r="H13" s="55"/>
      <c r="I13" s="55">
        <f>'Estado de resultados'!O14</f>
        <v>168405</v>
      </c>
      <c r="J13" s="55"/>
      <c r="K13" s="55">
        <f>'Estado de resultados'!R14</f>
        <v>174720</v>
      </c>
      <c r="L13" s="55"/>
      <c r="M13" s="55">
        <f>'Estado de resultados'!U14</f>
        <v>181125</v>
      </c>
      <c r="N13" s="55"/>
    </row>
    <row r="14" spans="1:14" x14ac:dyDescent="0.25">
      <c r="A14" s="53" t="s">
        <v>56</v>
      </c>
      <c r="B14" s="53"/>
      <c r="C14" s="54">
        <f>'Estado de resultados'!F17</f>
        <v>1000</v>
      </c>
      <c r="D14" s="53"/>
      <c r="E14" s="54">
        <f>'Estado de resultados'!I17</f>
        <v>0</v>
      </c>
      <c r="F14" s="53"/>
      <c r="G14" s="55">
        <f>'Estado de resultados'!L17</f>
        <v>0</v>
      </c>
      <c r="H14" s="55"/>
      <c r="I14" s="55">
        <f>'Estado de resultados'!O17</f>
        <v>0</v>
      </c>
      <c r="J14" s="55"/>
      <c r="K14" s="55">
        <f>'Estado de resultados'!R17</f>
        <v>0</v>
      </c>
      <c r="L14" s="55"/>
      <c r="M14" s="55">
        <f>'Estado de resultados'!U17</f>
        <v>0</v>
      </c>
      <c r="N14" s="55"/>
    </row>
    <row r="15" spans="1:14" x14ac:dyDescent="0.25">
      <c r="A15" s="53" t="s">
        <v>57</v>
      </c>
      <c r="B15" s="53"/>
      <c r="C15" s="54">
        <f>'Estado de resultados'!F19</f>
        <v>0</v>
      </c>
      <c r="D15" s="53"/>
      <c r="E15" s="55">
        <v>0</v>
      </c>
      <c r="F15" s="55"/>
      <c r="G15" s="55">
        <f>'Estado de resultados'!L19</f>
        <v>8275.0344827586323</v>
      </c>
      <c r="H15" s="55"/>
      <c r="I15" s="55">
        <f>'Estado de resultados'!O19</f>
        <v>9487.4482758620761</v>
      </c>
      <c r="J15" s="55"/>
      <c r="K15" s="55">
        <f>'Estado de resultados'!R19</f>
        <v>13489.827586206899</v>
      </c>
      <c r="L15" s="55"/>
      <c r="M15" s="55">
        <f>'Estado de resultados'!U19</f>
        <v>15189.655172413797</v>
      </c>
      <c r="N15" s="55"/>
    </row>
    <row r="16" spans="1:14" x14ac:dyDescent="0.25">
      <c r="A16" s="53" t="s">
        <v>58</v>
      </c>
      <c r="B16" s="53"/>
      <c r="C16" s="54">
        <f>Datos!E15</f>
        <v>50000</v>
      </c>
      <c r="D16" s="53"/>
      <c r="E16" s="55">
        <v>0</v>
      </c>
      <c r="F16" s="55"/>
      <c r="G16" s="55">
        <f>0</f>
        <v>0</v>
      </c>
      <c r="H16" s="55"/>
      <c r="I16" s="55">
        <v>0</v>
      </c>
      <c r="J16" s="55"/>
      <c r="K16" s="55">
        <v>0</v>
      </c>
      <c r="L16" s="55"/>
      <c r="M16" s="55">
        <v>0</v>
      </c>
      <c r="N16" s="55"/>
    </row>
    <row r="17" spans="1:26" ht="15.75" x14ac:dyDescent="0.3">
      <c r="A17" s="50" t="s">
        <v>51</v>
      </c>
      <c r="B17" s="50"/>
      <c r="C17" s="59">
        <f>C10+C11+C12+C13+C14+C15+C16</f>
        <v>519965.5172413793</v>
      </c>
      <c r="D17" s="50"/>
      <c r="E17" s="59">
        <f>E10+E11+E12+E13+E14+E15+E16</f>
        <v>488575.17241379304</v>
      </c>
      <c r="F17" s="50"/>
      <c r="G17" s="60">
        <f>G10+G11+G12+G13+G14+G15+G16</f>
        <v>516811.86206896545</v>
      </c>
      <c r="H17" s="60"/>
      <c r="I17" s="60">
        <f>I10+I11+I12+I13+I14+I15+I16</f>
        <v>538250.20689655165</v>
      </c>
      <c r="J17" s="60"/>
      <c r="K17" s="60">
        <f>K10+K11+K12+K13+K14+K15+K16</f>
        <v>562830.51724137925</v>
      </c>
      <c r="L17" s="60"/>
      <c r="M17" s="60">
        <f>M10+M11+M12+M13+M14+M15+M16</f>
        <v>585431.03448275861</v>
      </c>
      <c r="N17" s="60"/>
    </row>
    <row r="19" spans="1:26" ht="15.75" x14ac:dyDescent="0.3">
      <c r="A19" s="61" t="s">
        <v>59</v>
      </c>
      <c r="B19" s="61"/>
      <c r="C19" s="57" t="s">
        <v>40</v>
      </c>
      <c r="D19" s="57"/>
      <c r="E19" s="57" t="s">
        <v>46</v>
      </c>
      <c r="F19" s="57"/>
      <c r="G19" s="57" t="s">
        <v>47</v>
      </c>
      <c r="H19" s="57"/>
      <c r="I19" s="57" t="s">
        <v>72</v>
      </c>
      <c r="J19" s="57"/>
      <c r="K19" s="57" t="s">
        <v>73</v>
      </c>
      <c r="L19" s="57"/>
      <c r="M19" s="57" t="s">
        <v>74</v>
      </c>
      <c r="N19" s="57"/>
    </row>
    <row r="20" spans="1:26" x14ac:dyDescent="0.25">
      <c r="A20" s="34" t="s">
        <v>60</v>
      </c>
      <c r="B20" s="34"/>
      <c r="C20" s="65">
        <f>C7</f>
        <v>650000</v>
      </c>
      <c r="D20" s="34"/>
      <c r="E20" s="65">
        <f>E7</f>
        <v>640154.48275862075</v>
      </c>
      <c r="F20" s="34"/>
      <c r="G20" s="65">
        <f>G7</f>
        <v>687324.11034482776</v>
      </c>
      <c r="H20" s="34"/>
      <c r="I20" s="65">
        <f>I7</f>
        <v>732439.44827586226</v>
      </c>
      <c r="J20" s="34"/>
      <c r="K20" s="65">
        <f>K7</f>
        <v>782729.24137931061</v>
      </c>
      <c r="L20" s="34"/>
      <c r="M20" s="65">
        <f>M7</f>
        <v>835778.72413793136</v>
      </c>
      <c r="N20" s="34"/>
    </row>
    <row r="21" spans="1:26" x14ac:dyDescent="0.25">
      <c r="A21" s="34" t="s">
        <v>61</v>
      </c>
      <c r="B21" s="34"/>
      <c r="C21" s="65">
        <f>C17</f>
        <v>519965.5172413793</v>
      </c>
      <c r="D21" s="34"/>
      <c r="E21" s="65">
        <f>E17</f>
        <v>488575.17241379304</v>
      </c>
      <c r="F21" s="34"/>
      <c r="G21" s="65">
        <f>G17</f>
        <v>516811.86206896545</v>
      </c>
      <c r="H21" s="34"/>
      <c r="I21" s="65">
        <f>I17</f>
        <v>538250.20689655165</v>
      </c>
      <c r="J21" s="34"/>
      <c r="K21" s="65">
        <f>K17</f>
        <v>562830.51724137925</v>
      </c>
      <c r="L21" s="34"/>
      <c r="M21" s="65">
        <f>M17</f>
        <v>585431.03448275861</v>
      </c>
      <c r="N21" s="34"/>
    </row>
    <row r="22" spans="1:26" ht="15.75" x14ac:dyDescent="0.3">
      <c r="A22" s="57" t="s">
        <v>62</v>
      </c>
      <c r="B22" s="57"/>
      <c r="C22" s="58">
        <f>C20-C21</f>
        <v>130034.4827586207</v>
      </c>
      <c r="D22" s="57"/>
      <c r="E22" s="58">
        <f>E20-E21</f>
        <v>151579.31034482771</v>
      </c>
      <c r="F22" s="57"/>
      <c r="G22" s="58">
        <f>G20-G21</f>
        <v>170512.24827586231</v>
      </c>
      <c r="H22" s="57"/>
      <c r="I22" s="58">
        <f>I20-I21</f>
        <v>194189.24137931061</v>
      </c>
      <c r="J22" s="57"/>
      <c r="K22" s="58">
        <f>K20-K21</f>
        <v>219898.72413793136</v>
      </c>
      <c r="L22" s="57"/>
      <c r="M22" s="58">
        <f>M20-M21</f>
        <v>250347.68965517276</v>
      </c>
      <c r="N22" s="57"/>
    </row>
    <row r="25" spans="1:26" ht="15.75" x14ac:dyDescent="0.3">
      <c r="A25" s="29" t="s">
        <v>45</v>
      </c>
      <c r="B25" s="29"/>
      <c r="C25" s="29"/>
      <c r="D25" s="29"/>
      <c r="E25" s="29"/>
      <c r="F25" s="29"/>
      <c r="G25" s="29"/>
      <c r="H25" s="29"/>
      <c r="I25" s="29"/>
      <c r="J25" s="29"/>
      <c r="K25" s="29"/>
      <c r="L25" s="29"/>
      <c r="M25" s="29"/>
      <c r="N25" s="29"/>
      <c r="O25" s="29"/>
      <c r="P25" s="29"/>
      <c r="Q25" s="29"/>
      <c r="R25" s="29"/>
      <c r="S25" s="29"/>
      <c r="T25" s="29"/>
      <c r="U25" s="29"/>
      <c r="V25" s="29"/>
      <c r="W25" s="29"/>
      <c r="X25" s="29"/>
    </row>
    <row r="26" spans="1:26" ht="15.75" x14ac:dyDescent="0.3">
      <c r="A26" s="46"/>
      <c r="B26" s="46"/>
      <c r="C26" s="46"/>
      <c r="D26" s="46" t="s">
        <v>65</v>
      </c>
      <c r="E26" s="46"/>
      <c r="F26" s="46"/>
      <c r="G26" s="46" t="s">
        <v>66</v>
      </c>
      <c r="H26" s="46"/>
      <c r="I26" s="46"/>
      <c r="J26" s="46" t="s">
        <v>92</v>
      </c>
      <c r="K26" s="46"/>
      <c r="L26" s="46"/>
      <c r="M26" s="46" t="s">
        <v>94</v>
      </c>
      <c r="N26" s="46"/>
      <c r="O26" s="46"/>
      <c r="P26" s="46" t="s">
        <v>72</v>
      </c>
      <c r="Q26" s="46"/>
      <c r="R26" s="46"/>
      <c r="S26" s="46" t="s">
        <v>73</v>
      </c>
      <c r="T26" s="46"/>
      <c r="U26" s="46"/>
      <c r="V26" s="46" t="s">
        <v>74</v>
      </c>
      <c r="W26" s="46"/>
      <c r="X26" s="46"/>
      <c r="Y26" s="39" t="s">
        <v>97</v>
      </c>
    </row>
    <row r="27" spans="1:26" x14ac:dyDescent="0.25">
      <c r="A27" s="27" t="s">
        <v>3</v>
      </c>
      <c r="B27" s="27"/>
      <c r="C27" s="27"/>
      <c r="D27" s="26">
        <f>Datos!E4</f>
        <v>600000</v>
      </c>
      <c r="E27" s="27"/>
      <c r="F27" s="27"/>
      <c r="G27" s="26">
        <f>Datos!E5</f>
        <v>500000</v>
      </c>
      <c r="H27" s="27"/>
      <c r="I27" s="27"/>
      <c r="J27" s="26">
        <f>'Estado de resultados'!I8</f>
        <v>525300</v>
      </c>
      <c r="K27" s="26"/>
      <c r="L27" s="26"/>
      <c r="M27" s="66">
        <f>'Estado de resultados'!L8</f>
        <v>551412</v>
      </c>
      <c r="N27" s="66"/>
      <c r="O27" s="66"/>
      <c r="P27" s="66">
        <f>'Estado de resultados'!O8</f>
        <v>577700</v>
      </c>
      <c r="Q27" s="66"/>
      <c r="R27" s="66"/>
      <c r="S27" s="66">
        <f>'Estado de resultados'!R8</f>
        <v>604800</v>
      </c>
      <c r="T27" s="66"/>
      <c r="U27" s="66"/>
      <c r="V27" s="66">
        <f>'Estado de resultados'!U8</f>
        <v>632500</v>
      </c>
      <c r="W27" s="66"/>
      <c r="X27" s="66"/>
    </row>
    <row r="28" spans="1:26" x14ac:dyDescent="0.25">
      <c r="A28" s="31" t="s">
        <v>63</v>
      </c>
      <c r="B28" s="31"/>
      <c r="C28" s="31"/>
      <c r="D28" s="64">
        <f>D27*0.4</f>
        <v>240000</v>
      </c>
      <c r="E28" s="31"/>
      <c r="F28" s="31"/>
      <c r="G28" s="64">
        <f>G27*0.4</f>
        <v>200000</v>
      </c>
      <c r="H28" s="31"/>
      <c r="I28" s="31"/>
      <c r="J28" s="64">
        <f>J27*0.4</f>
        <v>210120</v>
      </c>
      <c r="K28" s="64"/>
      <c r="L28" s="64"/>
      <c r="M28" s="67">
        <f>M27*0.4</f>
        <v>220564.80000000002</v>
      </c>
      <c r="N28" s="67"/>
      <c r="O28" s="67"/>
      <c r="P28" s="67">
        <f>P27*0.4</f>
        <v>231080</v>
      </c>
      <c r="Q28" s="67"/>
      <c r="R28" s="67"/>
      <c r="S28" s="67">
        <f>S27*0.4</f>
        <v>241920</v>
      </c>
      <c r="T28" s="67"/>
      <c r="U28" s="67"/>
      <c r="V28" s="67">
        <f>V27*0.4</f>
        <v>253000</v>
      </c>
      <c r="W28" s="67"/>
      <c r="X28" s="67"/>
    </row>
    <row r="29" spans="1:26" x14ac:dyDescent="0.25">
      <c r="A29" s="27" t="s">
        <v>64</v>
      </c>
      <c r="B29" s="27"/>
      <c r="C29" s="27"/>
      <c r="D29" s="27"/>
      <c r="E29" s="27"/>
      <c r="F29" s="27"/>
      <c r="G29" s="26">
        <f>D27*0.6</f>
        <v>360000</v>
      </c>
      <c r="H29" s="27"/>
      <c r="I29" s="27"/>
      <c r="J29" s="26">
        <f>G27*0.6</f>
        <v>300000</v>
      </c>
      <c r="K29" s="26"/>
      <c r="L29" s="26"/>
      <c r="M29" s="26">
        <f>J27*0.6</f>
        <v>315180</v>
      </c>
      <c r="N29" s="27"/>
      <c r="O29" s="27"/>
      <c r="P29" s="66">
        <f>M27*0.6</f>
        <v>330847.2</v>
      </c>
      <c r="Q29" s="66"/>
      <c r="R29" s="66"/>
      <c r="S29" s="66">
        <f>P27*0.6</f>
        <v>346620</v>
      </c>
      <c r="T29" s="66"/>
      <c r="U29" s="66"/>
      <c r="V29" s="66">
        <f>S27*0.6</f>
        <v>362880</v>
      </c>
      <c r="W29" s="66"/>
      <c r="X29" s="66"/>
      <c r="Y29" s="24">
        <f>V27*0.6</f>
        <v>379500</v>
      </c>
      <c r="Z29" s="13"/>
    </row>
    <row r="30" spans="1:26" ht="15.75" x14ac:dyDescent="0.3">
      <c r="A30" s="46" t="s">
        <v>51</v>
      </c>
      <c r="B30" s="46"/>
      <c r="C30" s="46"/>
      <c r="D30" s="46"/>
      <c r="E30" s="46"/>
      <c r="F30" s="46"/>
      <c r="G30" s="68">
        <f>G28+G29</f>
        <v>560000</v>
      </c>
      <c r="H30" s="46"/>
      <c r="I30" s="46"/>
      <c r="J30" s="68">
        <f>J28+J29</f>
        <v>510120</v>
      </c>
      <c r="K30" s="68"/>
      <c r="L30" s="68"/>
      <c r="M30" s="69">
        <f>M28+M29</f>
        <v>535744.80000000005</v>
      </c>
      <c r="N30" s="69"/>
      <c r="O30" s="69"/>
      <c r="P30" s="69">
        <f>P28+P29</f>
        <v>561927.19999999995</v>
      </c>
      <c r="Q30" s="69"/>
      <c r="R30" s="69"/>
      <c r="S30" s="69">
        <f>S28+S29</f>
        <v>588540</v>
      </c>
      <c r="T30" s="69"/>
      <c r="U30" s="69"/>
      <c r="V30" s="69">
        <f>V28+V29</f>
        <v>615880</v>
      </c>
      <c r="W30" s="69"/>
      <c r="X30" s="69"/>
    </row>
    <row r="32" spans="1:26" x14ac:dyDescent="0.25">
      <c r="D32" s="7"/>
    </row>
    <row r="33" spans="1:14" x14ac:dyDescent="0.25">
      <c r="D33" s="7"/>
    </row>
    <row r="34" spans="1:14" x14ac:dyDescent="0.25">
      <c r="D34" s="7"/>
    </row>
    <row r="35" spans="1:14" x14ac:dyDescent="0.25">
      <c r="A35"/>
      <c r="B35"/>
      <c r="C35"/>
      <c r="D35" s="7"/>
    </row>
    <row r="36" spans="1:14" x14ac:dyDescent="0.25">
      <c r="A36"/>
      <c r="B36"/>
      <c r="C36"/>
      <c r="D36" s="7"/>
      <c r="N36"/>
    </row>
    <row r="37" spans="1:14" x14ac:dyDescent="0.25">
      <c r="A37"/>
      <c r="B37"/>
      <c r="C37"/>
      <c r="D37" s="7"/>
      <c r="N37"/>
    </row>
    <row r="38" spans="1:14" x14ac:dyDescent="0.25">
      <c r="A38"/>
      <c r="B38"/>
      <c r="C38"/>
      <c r="D38" s="7"/>
      <c r="N38"/>
    </row>
    <row r="39" spans="1:14" x14ac:dyDescent="0.25">
      <c r="A39"/>
      <c r="B39"/>
      <c r="C39"/>
      <c r="D39" s="7"/>
      <c r="N39"/>
    </row>
    <row r="40" spans="1:14" x14ac:dyDescent="0.25">
      <c r="A40"/>
      <c r="B40"/>
      <c r="C40"/>
      <c r="D40" s="7"/>
      <c r="N40"/>
    </row>
  </sheetData>
  <mergeCells count="169">
    <mergeCell ref="M20:N20"/>
    <mergeCell ref="M21:N21"/>
    <mergeCell ref="M22:N22"/>
    <mergeCell ref="Y29:Z29"/>
    <mergeCell ref="I20:J20"/>
    <mergeCell ref="I21:J21"/>
    <mergeCell ref="I22:J22"/>
    <mergeCell ref="K22:L22"/>
    <mergeCell ref="K21:L21"/>
    <mergeCell ref="K20:L20"/>
    <mergeCell ref="M15:N15"/>
    <mergeCell ref="M16:N16"/>
    <mergeCell ref="M17:N17"/>
    <mergeCell ref="I19:J19"/>
    <mergeCell ref="K19:L19"/>
    <mergeCell ref="M19:N19"/>
    <mergeCell ref="M10:N10"/>
    <mergeCell ref="M11:N11"/>
    <mergeCell ref="M12:N12"/>
    <mergeCell ref="M13:N13"/>
    <mergeCell ref="M14:N14"/>
    <mergeCell ref="I15:J15"/>
    <mergeCell ref="I16:J16"/>
    <mergeCell ref="I17:J17"/>
    <mergeCell ref="K10:L10"/>
    <mergeCell ref="K11:L11"/>
    <mergeCell ref="K12:L12"/>
    <mergeCell ref="K13:L13"/>
    <mergeCell ref="K14:L14"/>
    <mergeCell ref="K15:L15"/>
    <mergeCell ref="K16:L16"/>
    <mergeCell ref="K17:L17"/>
    <mergeCell ref="I10:J10"/>
    <mergeCell ref="I11:J11"/>
    <mergeCell ref="I12:J12"/>
    <mergeCell ref="I13:J13"/>
    <mergeCell ref="I14:J14"/>
    <mergeCell ref="M7:N7"/>
    <mergeCell ref="M6:N6"/>
    <mergeCell ref="M5:N5"/>
    <mergeCell ref="M4:N4"/>
    <mergeCell ref="I9:J9"/>
    <mergeCell ref="K9:L9"/>
    <mergeCell ref="M9:N9"/>
    <mergeCell ref="I6:J6"/>
    <mergeCell ref="I7:J7"/>
    <mergeCell ref="K4:L4"/>
    <mergeCell ref="K5:L5"/>
    <mergeCell ref="K6:L6"/>
    <mergeCell ref="K7:L7"/>
    <mergeCell ref="K3:L3"/>
    <mergeCell ref="M3:N3"/>
    <mergeCell ref="I4:J4"/>
    <mergeCell ref="I5:J5"/>
    <mergeCell ref="S27:U27"/>
    <mergeCell ref="S28:U28"/>
    <mergeCell ref="S29:U29"/>
    <mergeCell ref="S30:U30"/>
    <mergeCell ref="A25:X25"/>
    <mergeCell ref="V26:X26"/>
    <mergeCell ref="V27:X27"/>
    <mergeCell ref="V28:X28"/>
    <mergeCell ref="V29:X29"/>
    <mergeCell ref="V30:X30"/>
    <mergeCell ref="G17:H17"/>
    <mergeCell ref="M27:O27"/>
    <mergeCell ref="M28:O28"/>
    <mergeCell ref="M30:O30"/>
    <mergeCell ref="P26:R26"/>
    <mergeCell ref="P27:R27"/>
    <mergeCell ref="P28:R28"/>
    <mergeCell ref="P29:R29"/>
    <mergeCell ref="P30:R30"/>
    <mergeCell ref="G19:H19"/>
    <mergeCell ref="G20:H20"/>
    <mergeCell ref="G21:H21"/>
    <mergeCell ref="G22:H22"/>
    <mergeCell ref="S26:U26"/>
    <mergeCell ref="G4:H4"/>
    <mergeCell ref="G5:H5"/>
    <mergeCell ref="G6:H6"/>
    <mergeCell ref="G7:H7"/>
    <mergeCell ref="G10:H10"/>
    <mergeCell ref="A1:I1"/>
    <mergeCell ref="A3:B3"/>
    <mergeCell ref="C3:D3"/>
    <mergeCell ref="E3:F3"/>
    <mergeCell ref="G3:H3"/>
    <mergeCell ref="I3:J3"/>
    <mergeCell ref="E4:F4"/>
    <mergeCell ref="E5:F5"/>
    <mergeCell ref="E6:F6"/>
    <mergeCell ref="E7:F7"/>
    <mergeCell ref="E10:F10"/>
    <mergeCell ref="A4:B4"/>
    <mergeCell ref="A5:B5"/>
    <mergeCell ref="A6:B6"/>
    <mergeCell ref="A7:B7"/>
    <mergeCell ref="C4:D4"/>
    <mergeCell ref="C5:D5"/>
    <mergeCell ref="C6:D6"/>
    <mergeCell ref="C7:D7"/>
    <mergeCell ref="A16:B16"/>
    <mergeCell ref="A9:B9"/>
    <mergeCell ref="C9:D9"/>
    <mergeCell ref="E9:F9"/>
    <mergeCell ref="G9:H9"/>
    <mergeCell ref="A10:B10"/>
    <mergeCell ref="G11:H11"/>
    <mergeCell ref="G12:H12"/>
    <mergeCell ref="G13:H13"/>
    <mergeCell ref="G14:H14"/>
    <mergeCell ref="G15:H15"/>
    <mergeCell ref="G16:H16"/>
    <mergeCell ref="C12:D12"/>
    <mergeCell ref="C11:D11"/>
    <mergeCell ref="C10:D10"/>
    <mergeCell ref="A19:B19"/>
    <mergeCell ref="C19:D19"/>
    <mergeCell ref="A17:B17"/>
    <mergeCell ref="C17:D17"/>
    <mergeCell ref="C16:D16"/>
    <mergeCell ref="C15:D15"/>
    <mergeCell ref="C14:D14"/>
    <mergeCell ref="C13:D13"/>
    <mergeCell ref="A11:B11"/>
    <mergeCell ref="A12:B12"/>
    <mergeCell ref="A13:B13"/>
    <mergeCell ref="A14:B14"/>
    <mergeCell ref="A15:B15"/>
    <mergeCell ref="A21:B21"/>
    <mergeCell ref="A22:B22"/>
    <mergeCell ref="C20:D20"/>
    <mergeCell ref="C21:D21"/>
    <mergeCell ref="C22:D22"/>
    <mergeCell ref="A20:B20"/>
    <mergeCell ref="A27:C27"/>
    <mergeCell ref="A26:C26"/>
    <mergeCell ref="A28:C28"/>
    <mergeCell ref="A29:C29"/>
    <mergeCell ref="A30:C30"/>
    <mergeCell ref="J30:L30"/>
    <mergeCell ref="G26:I26"/>
    <mergeCell ref="D28:F28"/>
    <mergeCell ref="D29:F29"/>
    <mergeCell ref="D30:F30"/>
    <mergeCell ref="G27:I27"/>
    <mergeCell ref="G28:I28"/>
    <mergeCell ref="G29:I29"/>
    <mergeCell ref="G30:I30"/>
    <mergeCell ref="D27:F27"/>
    <mergeCell ref="D26:F26"/>
    <mergeCell ref="E11:F11"/>
    <mergeCell ref="E12:F12"/>
    <mergeCell ref="E13:F13"/>
    <mergeCell ref="E14:F14"/>
    <mergeCell ref="E15:F15"/>
    <mergeCell ref="E16:F16"/>
    <mergeCell ref="E17:F17"/>
    <mergeCell ref="E19:F19"/>
    <mergeCell ref="E20:F20"/>
    <mergeCell ref="E21:F21"/>
    <mergeCell ref="M29:O29"/>
    <mergeCell ref="E22:F22"/>
    <mergeCell ref="J26:L26"/>
    <mergeCell ref="J27:L27"/>
    <mergeCell ref="J28:L28"/>
    <mergeCell ref="J29:L29"/>
    <mergeCell ref="M26:O26"/>
  </mergeCells>
  <pageMargins left="0.7" right="0.7" top="0.75" bottom="0.75" header="0.3" footer="0.3"/>
  <pageSetup paperSize="9" orientation="portrait" horizontalDpi="0"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Q45"/>
  <sheetViews>
    <sheetView showGridLines="0" workbookViewId="0">
      <selection sqref="A1:H1"/>
    </sheetView>
  </sheetViews>
  <sheetFormatPr baseColWidth="10" defaultRowHeight="15" x14ac:dyDescent="0.25"/>
  <cols>
    <col min="1" max="16384" width="11.42578125" style="1"/>
  </cols>
  <sheetData>
    <row r="1" spans="1:17" ht="19.5" x14ac:dyDescent="0.35">
      <c r="A1" s="20" t="s">
        <v>67</v>
      </c>
      <c r="B1" s="20"/>
      <c r="C1" s="20"/>
      <c r="D1" s="20"/>
      <c r="E1" s="20"/>
      <c r="F1" s="20"/>
      <c r="G1" s="20"/>
      <c r="H1" s="20"/>
    </row>
    <row r="3" spans="1:17" ht="15.75" x14ac:dyDescent="0.3">
      <c r="A3" s="30" t="s">
        <v>67</v>
      </c>
      <c r="B3" s="30"/>
      <c r="C3" s="30"/>
      <c r="D3" s="30"/>
      <c r="E3" s="30"/>
      <c r="F3" s="30"/>
      <c r="G3" s="30"/>
      <c r="H3" s="30"/>
      <c r="I3" s="30"/>
      <c r="J3" s="30"/>
      <c r="K3" s="30"/>
      <c r="L3" s="30"/>
      <c r="M3" s="30"/>
      <c r="N3" s="30"/>
      <c r="O3" s="30"/>
      <c r="P3" s="30"/>
      <c r="Q3" s="30"/>
    </row>
    <row r="4" spans="1:17" ht="15.75" x14ac:dyDescent="0.3">
      <c r="A4" s="30" t="s">
        <v>68</v>
      </c>
      <c r="B4" s="30"/>
      <c r="C4" s="30"/>
      <c r="D4" s="30"/>
      <c r="E4" s="30"/>
      <c r="F4" s="30"/>
      <c r="G4" s="30"/>
      <c r="H4" s="30"/>
      <c r="I4" s="30"/>
      <c r="J4" s="30"/>
      <c r="K4" s="30"/>
      <c r="L4" s="30"/>
      <c r="M4" s="30"/>
      <c r="N4" s="30"/>
      <c r="O4" s="30"/>
      <c r="P4" s="30"/>
      <c r="Q4" s="30"/>
    </row>
    <row r="5" spans="1:17" ht="15.75" x14ac:dyDescent="0.3">
      <c r="A5" s="30" t="s">
        <v>69</v>
      </c>
      <c r="B5" s="30"/>
      <c r="C5" s="30"/>
      <c r="D5" s="30"/>
      <c r="E5" s="30"/>
      <c r="F5" s="30"/>
      <c r="G5" s="30"/>
      <c r="H5" s="30"/>
      <c r="I5" s="30"/>
      <c r="J5" s="30"/>
      <c r="K5" s="30"/>
      <c r="L5" s="30"/>
      <c r="M5" s="30"/>
      <c r="N5" s="30"/>
      <c r="O5" s="30"/>
      <c r="P5" s="30"/>
      <c r="Q5" s="30"/>
    </row>
    <row r="6" spans="1:17" ht="15.75" x14ac:dyDescent="0.3">
      <c r="A6" s="30" t="s">
        <v>70</v>
      </c>
      <c r="B6" s="30"/>
      <c r="C6" s="30"/>
      <c r="D6" s="30"/>
      <c r="E6" s="30"/>
      <c r="F6" s="30"/>
      <c r="G6" s="30"/>
      <c r="H6" s="30"/>
      <c r="I6" s="30"/>
      <c r="J6" s="30"/>
      <c r="K6" s="30"/>
      <c r="L6" s="30"/>
      <c r="M6" s="30"/>
      <c r="N6" s="30"/>
      <c r="O6" s="30"/>
      <c r="P6" s="30"/>
      <c r="Q6" s="30"/>
    </row>
    <row r="8" spans="1:17" ht="15.75" x14ac:dyDescent="0.3">
      <c r="A8" s="30" t="s">
        <v>71</v>
      </c>
      <c r="B8" s="30"/>
      <c r="C8" s="30"/>
      <c r="D8" s="30"/>
      <c r="E8" s="30"/>
      <c r="F8" s="9" t="s">
        <v>40</v>
      </c>
      <c r="G8" s="9"/>
      <c r="H8" s="9" t="s">
        <v>46</v>
      </c>
      <c r="I8" s="9"/>
      <c r="J8" s="9" t="s">
        <v>47</v>
      </c>
      <c r="K8" s="9"/>
      <c r="L8" s="9" t="s">
        <v>72</v>
      </c>
      <c r="M8" s="9"/>
      <c r="N8" s="9" t="s">
        <v>73</v>
      </c>
      <c r="O8" s="9"/>
      <c r="P8" s="9" t="s">
        <v>74</v>
      </c>
      <c r="Q8" s="9"/>
    </row>
    <row r="10" spans="1:17" ht="15.75" x14ac:dyDescent="0.3">
      <c r="A10" s="30" t="s">
        <v>75</v>
      </c>
      <c r="B10" s="30"/>
      <c r="C10" s="30"/>
      <c r="D10" s="30"/>
      <c r="E10" s="30"/>
      <c r="F10" s="30"/>
      <c r="G10" s="30"/>
      <c r="H10" s="30"/>
      <c r="I10" s="30"/>
      <c r="J10" s="30"/>
      <c r="K10" s="30"/>
      <c r="L10" s="30"/>
      <c r="M10" s="30"/>
      <c r="N10" s="30"/>
      <c r="O10" s="30"/>
      <c r="P10" s="30"/>
      <c r="Q10" s="30"/>
    </row>
    <row r="11" spans="1:17" x14ac:dyDescent="0.25">
      <c r="A11" s="13" t="s">
        <v>76</v>
      </c>
      <c r="B11" s="13"/>
      <c r="C11" s="13"/>
      <c r="D11" s="13"/>
      <c r="E11" s="13"/>
      <c r="F11" s="25">
        <f>IF(FNE!C22&gt;0,FNE!C22,0)</f>
        <v>130034.4827586207</v>
      </c>
      <c r="G11" s="25"/>
      <c r="H11" s="25">
        <f>IF(FNE!E22&gt;0,FNE!E22,0)</f>
        <v>151579.31034482771</v>
      </c>
      <c r="I11" s="25"/>
      <c r="J11" s="25">
        <f>IF(FNE!G22&gt;0,FNE!G22,0)</f>
        <v>170512.24827586231</v>
      </c>
      <c r="K11" s="25"/>
      <c r="L11" s="25">
        <f>IF(FNE!I22&gt;0,FNE!I22,0)</f>
        <v>194189.24137931061</v>
      </c>
      <c r="M11" s="25"/>
      <c r="N11" s="25">
        <f>IF(FNE!K22&gt;0,FNE!K22,0)</f>
        <v>219898.72413793136</v>
      </c>
      <c r="O11" s="25"/>
      <c r="P11" s="25">
        <f>IF(FNE!M22&gt;0,FNE!M22,0)</f>
        <v>250347.68965517276</v>
      </c>
      <c r="Q11" s="25"/>
    </row>
    <row r="12" spans="1:17" x14ac:dyDescent="0.25">
      <c r="A12" s="13" t="s">
        <v>77</v>
      </c>
      <c r="B12" s="13"/>
      <c r="C12" s="13"/>
      <c r="D12" s="13"/>
      <c r="E12" s="13"/>
      <c r="F12" s="24">
        <f>Datos!E5*0.6</f>
        <v>300000</v>
      </c>
      <c r="G12" s="13"/>
      <c r="H12" s="24">
        <f>FNE!M29</f>
        <v>315180</v>
      </c>
      <c r="I12" s="13"/>
      <c r="J12" s="24">
        <f>FNE!P29</f>
        <v>330847.2</v>
      </c>
      <c r="K12" s="13"/>
      <c r="L12" s="24">
        <f>FNE!S29</f>
        <v>346620</v>
      </c>
      <c r="M12" s="13"/>
      <c r="N12" s="24">
        <f>FNE!V29</f>
        <v>362880</v>
      </c>
      <c r="O12" s="13"/>
      <c r="P12" s="24">
        <f>FNE!Y29</f>
        <v>379500</v>
      </c>
      <c r="Q12" s="13"/>
    </row>
    <row r="13" spans="1:17" ht="15.75" x14ac:dyDescent="0.3">
      <c r="A13" s="30" t="s">
        <v>78</v>
      </c>
      <c r="B13" s="30"/>
      <c r="C13" s="30"/>
      <c r="D13" s="30"/>
      <c r="E13" s="30"/>
      <c r="F13" s="28">
        <f>F11+F12</f>
        <v>430034.4827586207</v>
      </c>
      <c r="G13" s="9"/>
      <c r="H13" s="28">
        <f>H11+H12</f>
        <v>466759.31034482771</v>
      </c>
      <c r="I13" s="9"/>
      <c r="J13" s="28">
        <f>J11+J12</f>
        <v>501359.44827586232</v>
      </c>
      <c r="K13" s="9"/>
      <c r="L13" s="28">
        <f>L11+L12</f>
        <v>540809.24137931061</v>
      </c>
      <c r="M13" s="9"/>
      <c r="N13" s="28">
        <f>N11+N12</f>
        <v>582778.72413793136</v>
      </c>
      <c r="O13" s="9"/>
      <c r="P13" s="28">
        <f>P11+P12</f>
        <v>629847.68965517276</v>
      </c>
      <c r="Q13" s="9"/>
    </row>
    <row r="15" spans="1:17" ht="15.75" x14ac:dyDescent="0.3">
      <c r="A15" s="30" t="s">
        <v>79</v>
      </c>
      <c r="B15" s="30"/>
      <c r="C15" s="30"/>
      <c r="D15" s="30"/>
      <c r="E15" s="30"/>
      <c r="F15" s="30"/>
      <c r="G15" s="30"/>
      <c r="H15" s="30"/>
      <c r="I15" s="30"/>
      <c r="J15" s="30"/>
      <c r="K15" s="30"/>
      <c r="L15" s="30"/>
      <c r="M15" s="30"/>
      <c r="N15" s="30"/>
      <c r="O15" s="30"/>
      <c r="P15" s="30"/>
      <c r="Q15" s="30"/>
    </row>
    <row r="16" spans="1:17" x14ac:dyDescent="0.25">
      <c r="A16" s="13" t="s">
        <v>80</v>
      </c>
      <c r="B16" s="13"/>
      <c r="C16" s="13"/>
      <c r="D16" s="13"/>
      <c r="E16" s="13"/>
      <c r="F16" s="24">
        <f>Datos!E11</f>
        <v>100000</v>
      </c>
      <c r="G16" s="13"/>
      <c r="H16" s="24">
        <f>Datos!E11</f>
        <v>100000</v>
      </c>
      <c r="I16" s="13"/>
      <c r="J16" s="24">
        <f>Datos!E11</f>
        <v>100000</v>
      </c>
      <c r="K16" s="13"/>
      <c r="L16" s="24">
        <f>Datos!E11</f>
        <v>100000</v>
      </c>
      <c r="M16" s="13"/>
      <c r="N16" s="24">
        <f>Datos!E11</f>
        <v>100000</v>
      </c>
      <c r="O16" s="13"/>
      <c r="P16" s="24">
        <f>Datos!E11</f>
        <v>100000</v>
      </c>
      <c r="Q16" s="13"/>
    </row>
    <row r="17" spans="1:17" x14ac:dyDescent="0.25">
      <c r="A17" s="13" t="s">
        <v>81</v>
      </c>
      <c r="B17" s="13"/>
      <c r="C17" s="13"/>
      <c r="D17" s="13"/>
      <c r="E17" s="13"/>
      <c r="F17" s="24">
        <f>'Estado de resultados'!F12:H12</f>
        <v>1500</v>
      </c>
      <c r="G17" s="13"/>
      <c r="H17" s="24">
        <f>'Estado de resultados'!I12*2</f>
        <v>3000</v>
      </c>
      <c r="I17" s="13"/>
      <c r="J17" s="24">
        <f>'Estado de resultados'!L12*3</f>
        <v>4500</v>
      </c>
      <c r="K17" s="13"/>
      <c r="L17" s="24">
        <f>F17*4</f>
        <v>6000</v>
      </c>
      <c r="M17" s="13"/>
      <c r="N17" s="24">
        <f>F17*5</f>
        <v>7500</v>
      </c>
      <c r="O17" s="13"/>
      <c r="P17" s="24">
        <f>F17*6</f>
        <v>9000</v>
      </c>
      <c r="Q17" s="13"/>
    </row>
    <row r="18" spans="1:17" ht="15.75" x14ac:dyDescent="0.3">
      <c r="A18" s="30" t="s">
        <v>82</v>
      </c>
      <c r="B18" s="9"/>
      <c r="C18" s="9"/>
      <c r="D18" s="9"/>
      <c r="E18" s="9"/>
      <c r="F18" s="28">
        <f>F16-F17</f>
        <v>98500</v>
      </c>
      <c r="G18" s="9"/>
      <c r="H18" s="28">
        <f>H16-H17</f>
        <v>97000</v>
      </c>
      <c r="I18" s="9"/>
      <c r="J18" s="28">
        <f>J16-J17</f>
        <v>95500</v>
      </c>
      <c r="K18" s="9"/>
      <c r="L18" s="28">
        <f>L16-L17</f>
        <v>94000</v>
      </c>
      <c r="M18" s="9"/>
      <c r="N18" s="28">
        <f>N16-N17</f>
        <v>92500</v>
      </c>
      <c r="O18" s="9"/>
      <c r="P18" s="28">
        <f>P16-P17</f>
        <v>91000</v>
      </c>
      <c r="Q18" s="9"/>
    </row>
    <row r="20" spans="1:17" ht="15.75" x14ac:dyDescent="0.3">
      <c r="A20" s="29" t="s">
        <v>83</v>
      </c>
      <c r="B20" s="29"/>
      <c r="C20" s="29"/>
      <c r="D20" s="29"/>
      <c r="E20" s="29"/>
      <c r="F20" s="26">
        <f>F13+F18</f>
        <v>528534.48275862075</v>
      </c>
      <c r="G20" s="27"/>
      <c r="H20" s="26">
        <f>H13+H18</f>
        <v>563759.31034482771</v>
      </c>
      <c r="I20" s="27"/>
      <c r="J20" s="26">
        <f>J13+J18</f>
        <v>596859.44827586226</v>
      </c>
      <c r="K20" s="27"/>
      <c r="L20" s="26">
        <f>L13+L18</f>
        <v>634809.24137931061</v>
      </c>
      <c r="M20" s="27"/>
      <c r="N20" s="26">
        <f>N13+N18</f>
        <v>675278.72413793136</v>
      </c>
      <c r="O20" s="27"/>
      <c r="P20" s="26">
        <f>P13+P18</f>
        <v>720847.68965517276</v>
      </c>
      <c r="Q20" s="27"/>
    </row>
    <row r="22" spans="1:17" ht="15.75" x14ac:dyDescent="0.3">
      <c r="A22" s="30" t="s">
        <v>84</v>
      </c>
      <c r="B22" s="30"/>
      <c r="C22" s="30"/>
      <c r="D22" s="30"/>
      <c r="E22" s="30"/>
      <c r="F22" s="9" t="s">
        <v>40</v>
      </c>
      <c r="G22" s="9"/>
      <c r="H22" s="9" t="s">
        <v>46</v>
      </c>
      <c r="I22" s="9"/>
      <c r="J22" s="9" t="s">
        <v>47</v>
      </c>
      <c r="K22" s="9"/>
      <c r="L22" s="9" t="s">
        <v>72</v>
      </c>
      <c r="M22" s="9"/>
      <c r="N22" s="9" t="s">
        <v>73</v>
      </c>
      <c r="O22" s="9"/>
      <c r="P22" s="9" t="s">
        <v>74</v>
      </c>
      <c r="Q22" s="9"/>
    </row>
    <row r="24" spans="1:17" ht="15.75" x14ac:dyDescent="0.3">
      <c r="A24" s="30" t="s">
        <v>85</v>
      </c>
      <c r="B24" s="30"/>
      <c r="C24" s="30"/>
      <c r="D24" s="30"/>
      <c r="E24" s="30"/>
      <c r="F24" s="30"/>
      <c r="G24" s="30"/>
      <c r="H24" s="30"/>
      <c r="I24" s="30"/>
      <c r="J24" s="30"/>
      <c r="K24" s="30"/>
      <c r="L24" s="30"/>
      <c r="M24" s="30"/>
      <c r="N24" s="30"/>
      <c r="O24" s="30"/>
      <c r="P24" s="30"/>
      <c r="Q24" s="30"/>
    </row>
    <row r="25" spans="1:17" x14ac:dyDescent="0.25">
      <c r="A25" s="13" t="s">
        <v>58</v>
      </c>
      <c r="B25" s="13"/>
      <c r="C25" s="13"/>
      <c r="D25" s="13"/>
      <c r="E25" s="13"/>
      <c r="F25" s="25">
        <f>IF(FNE!C22&lt;0,(FNE!C22)*(-1),0)</f>
        <v>0</v>
      </c>
      <c r="G25" s="25"/>
      <c r="H25" s="25">
        <f>IF(FNE!E22&lt;0,(FNE!E22)*(-1),0)</f>
        <v>0</v>
      </c>
      <c r="I25" s="25"/>
      <c r="J25" s="25">
        <f>IF(FNE!G22&lt;0,(FNE!G22)*(-1),0)</f>
        <v>0</v>
      </c>
      <c r="K25" s="25"/>
      <c r="L25" s="25">
        <f>IF(FNE!I22&lt;0,(FNE!I22)*(-1),0)</f>
        <v>0</v>
      </c>
      <c r="M25" s="25"/>
      <c r="N25" s="25">
        <f>IF(FNE!K22&lt;0,(FNE!K22)*(-1),0)</f>
        <v>0</v>
      </c>
      <c r="O25" s="25"/>
      <c r="P25" s="25">
        <f>IF(FNE!M22&lt;0,(FNE!M22)*(-1),0)</f>
        <v>0</v>
      </c>
      <c r="Q25" s="25"/>
    </row>
    <row r="26" spans="1:17" ht="15.75" x14ac:dyDescent="0.3">
      <c r="A26" s="30" t="s">
        <v>86</v>
      </c>
      <c r="B26" s="30"/>
      <c r="C26" s="30"/>
      <c r="D26" s="30"/>
      <c r="E26" s="30"/>
      <c r="F26" s="28">
        <f>F25</f>
        <v>0</v>
      </c>
      <c r="G26" s="9"/>
      <c r="H26" s="28">
        <f>H25</f>
        <v>0</v>
      </c>
      <c r="I26" s="9"/>
      <c r="J26" s="49">
        <f>J25</f>
        <v>0</v>
      </c>
      <c r="K26" s="49"/>
      <c r="L26" s="28">
        <f>L25</f>
        <v>0</v>
      </c>
      <c r="M26" s="9"/>
      <c r="N26" s="28">
        <f>N25</f>
        <v>0</v>
      </c>
      <c r="O26" s="9"/>
      <c r="P26" s="28">
        <f>P25</f>
        <v>0</v>
      </c>
      <c r="Q26" s="9"/>
    </row>
    <row r="27" spans="1:17" x14ac:dyDescent="0.25">
      <c r="J27" s="13"/>
      <c r="K27" s="13"/>
    </row>
    <row r="28" spans="1:17" ht="15.75" x14ac:dyDescent="0.3">
      <c r="A28" s="29" t="s">
        <v>87</v>
      </c>
      <c r="B28" s="29"/>
      <c r="C28" s="29"/>
      <c r="D28" s="29"/>
      <c r="E28" s="29"/>
      <c r="F28" s="26">
        <f>F26</f>
        <v>0</v>
      </c>
      <c r="G28" s="27"/>
      <c r="H28" s="26">
        <f>H26</f>
        <v>0</v>
      </c>
      <c r="I28" s="27"/>
      <c r="J28" s="26">
        <f>J26</f>
        <v>0</v>
      </c>
      <c r="K28" s="27"/>
      <c r="L28" s="26">
        <f>L26</f>
        <v>0</v>
      </c>
      <c r="M28" s="27"/>
      <c r="N28" s="26">
        <f>N26</f>
        <v>0</v>
      </c>
      <c r="O28" s="27"/>
      <c r="P28" s="26">
        <f>P26</f>
        <v>0</v>
      </c>
      <c r="Q28" s="27"/>
    </row>
    <row r="30" spans="1:17" ht="15.75" x14ac:dyDescent="0.3">
      <c r="A30" s="30" t="s">
        <v>88</v>
      </c>
      <c r="B30" s="30"/>
      <c r="C30" s="30"/>
      <c r="D30" s="30"/>
      <c r="E30" s="30"/>
      <c r="F30" s="9" t="s">
        <v>40</v>
      </c>
      <c r="G30" s="9"/>
      <c r="H30" s="9" t="s">
        <v>46</v>
      </c>
      <c r="I30" s="9"/>
      <c r="J30" s="9" t="s">
        <v>47</v>
      </c>
      <c r="K30" s="9"/>
      <c r="L30" s="9" t="s">
        <v>72</v>
      </c>
      <c r="M30" s="9"/>
      <c r="N30" s="9" t="s">
        <v>73</v>
      </c>
      <c r="O30" s="9"/>
      <c r="P30" s="9" t="s">
        <v>74</v>
      </c>
      <c r="Q30" s="9"/>
    </row>
    <row r="31" spans="1:17" x14ac:dyDescent="0.25">
      <c r="A31" s="13" t="s">
        <v>6</v>
      </c>
      <c r="B31" s="13"/>
      <c r="C31" s="13"/>
      <c r="D31" s="13"/>
      <c r="E31" s="13"/>
      <c r="F31" s="24">
        <f>Datos!E3</f>
        <v>500000</v>
      </c>
      <c r="G31" s="13"/>
      <c r="H31" s="24">
        <f>Datos!E3</f>
        <v>500000</v>
      </c>
      <c r="I31" s="13"/>
      <c r="J31" s="24">
        <f>Datos!E3</f>
        <v>500000</v>
      </c>
      <c r="K31" s="13"/>
      <c r="L31" s="24">
        <f>Datos!E3</f>
        <v>500000</v>
      </c>
      <c r="M31" s="13"/>
      <c r="N31" s="24">
        <f>Datos!E3</f>
        <v>500000</v>
      </c>
      <c r="O31" s="13"/>
      <c r="P31" s="24">
        <f>Datos!E3</f>
        <v>500000</v>
      </c>
      <c r="Q31" s="13"/>
    </row>
    <row r="32" spans="1:17" x14ac:dyDescent="0.25">
      <c r="A32" s="13" t="s">
        <v>89</v>
      </c>
      <c r="B32" s="13"/>
      <c r="C32" s="13"/>
      <c r="D32" s="13"/>
      <c r="E32" s="13"/>
      <c r="F32" s="24">
        <f>'Estado de resultados'!F20:H20</f>
        <v>28534.482758620696</v>
      </c>
      <c r="G32" s="13"/>
      <c r="H32" s="24">
        <f>'Estado de resultados'!F20+'Estado de resultados'!I20</f>
        <v>63759.310344827652</v>
      </c>
      <c r="I32" s="13"/>
      <c r="J32" s="24">
        <f>'Balance General'!H32+'Estado de resultados'!L20</f>
        <v>96859.448275862174</v>
      </c>
      <c r="K32" s="13"/>
      <c r="L32" s="24">
        <f>J32+'Estado de resultados'!O20</f>
        <v>134809.24137931049</v>
      </c>
      <c r="M32" s="13"/>
      <c r="N32" s="24">
        <f>L32+'Estado de resultados'!R20</f>
        <v>175278.72413793119</v>
      </c>
      <c r="O32" s="13"/>
      <c r="P32" s="24">
        <f>N32+'Estado de resultados'!U20</f>
        <v>220847.68965517258</v>
      </c>
      <c r="Q32" s="13"/>
    </row>
    <row r="33" spans="1:17" ht="15.75" x14ac:dyDescent="0.3">
      <c r="A33" s="29" t="s">
        <v>90</v>
      </c>
      <c r="B33" s="27"/>
      <c r="C33" s="27"/>
      <c r="D33" s="27"/>
      <c r="E33" s="27"/>
      <c r="F33" s="26">
        <f>F31+F32</f>
        <v>528534.48275862075</v>
      </c>
      <c r="G33" s="27"/>
      <c r="H33" s="26">
        <f>H31+H32</f>
        <v>563759.31034482759</v>
      </c>
      <c r="I33" s="27"/>
      <c r="J33" s="26">
        <f>J31+J32</f>
        <v>596859.44827586215</v>
      </c>
      <c r="K33" s="27"/>
      <c r="L33" s="26">
        <f>L31+L32</f>
        <v>634809.24137931049</v>
      </c>
      <c r="M33" s="27"/>
      <c r="N33" s="26">
        <f>N31+N32</f>
        <v>675278.72413793113</v>
      </c>
      <c r="O33" s="27"/>
      <c r="P33" s="26">
        <f>P31+P32</f>
        <v>720847.68965517264</v>
      </c>
      <c r="Q33" s="27"/>
    </row>
    <row r="35" spans="1:17" ht="15.75" x14ac:dyDescent="0.3">
      <c r="A35" s="29" t="s">
        <v>91</v>
      </c>
      <c r="B35" s="29"/>
      <c r="C35" s="29"/>
      <c r="D35" s="29"/>
      <c r="E35" s="29"/>
      <c r="F35" s="26">
        <f>F28+F33</f>
        <v>528534.48275862075</v>
      </c>
      <c r="G35" s="27"/>
      <c r="H35" s="26">
        <f>H28+H33</f>
        <v>563759.31034482759</v>
      </c>
      <c r="I35" s="27"/>
      <c r="J35" s="26">
        <f>J33+J28</f>
        <v>596859.44827586215</v>
      </c>
      <c r="K35" s="27"/>
      <c r="L35" s="26">
        <f>L33+L28</f>
        <v>634809.24137931049</v>
      </c>
      <c r="M35" s="27"/>
      <c r="N35" s="26">
        <f>N33</f>
        <v>675278.72413793113</v>
      </c>
      <c r="O35" s="27"/>
      <c r="P35" s="26">
        <f>P33</f>
        <v>720847.68965517264</v>
      </c>
      <c r="Q35" s="27"/>
    </row>
    <row r="37" spans="1:17" x14ac:dyDescent="0.25">
      <c r="D37" s="7"/>
    </row>
    <row r="38" spans="1:17" x14ac:dyDescent="0.25">
      <c r="D38" s="7"/>
    </row>
    <row r="39" spans="1:17" x14ac:dyDescent="0.25">
      <c r="D39" s="7"/>
    </row>
    <row r="40" spans="1:17" x14ac:dyDescent="0.25">
      <c r="A40"/>
      <c r="B40"/>
      <c r="C40"/>
      <c r="D40" s="7"/>
    </row>
    <row r="41" spans="1:17" x14ac:dyDescent="0.25">
      <c r="A41"/>
      <c r="B41"/>
      <c r="C41"/>
      <c r="D41" s="7"/>
      <c r="N41"/>
    </row>
    <row r="42" spans="1:17" x14ac:dyDescent="0.25">
      <c r="A42"/>
      <c r="B42"/>
      <c r="C42"/>
      <c r="D42" s="7"/>
      <c r="N42"/>
    </row>
    <row r="43" spans="1:17" x14ac:dyDescent="0.25">
      <c r="A43"/>
      <c r="B43"/>
      <c r="C43"/>
      <c r="D43" s="7"/>
      <c r="N43"/>
    </row>
    <row r="44" spans="1:17" x14ac:dyDescent="0.25">
      <c r="A44"/>
      <c r="B44"/>
      <c r="C44"/>
      <c r="D44" s="7"/>
      <c r="N44"/>
    </row>
    <row r="45" spans="1:17" x14ac:dyDescent="0.25">
      <c r="A45"/>
      <c r="B45"/>
      <c r="C45"/>
      <c r="D45" s="7"/>
      <c r="N45"/>
    </row>
  </sheetData>
  <mergeCells count="128">
    <mergeCell ref="P33:Q33"/>
    <mergeCell ref="P35:Q35"/>
    <mergeCell ref="N31:O31"/>
    <mergeCell ref="N32:O32"/>
    <mergeCell ref="N33:O33"/>
    <mergeCell ref="N35:O35"/>
    <mergeCell ref="P11:Q11"/>
    <mergeCell ref="P12:Q12"/>
    <mergeCell ref="P13:Q13"/>
    <mergeCell ref="P16:Q16"/>
    <mergeCell ref="P17:Q17"/>
    <mergeCell ref="P18:Q18"/>
    <mergeCell ref="P20:Q20"/>
    <mergeCell ref="P25:Q25"/>
    <mergeCell ref="P26:Q26"/>
    <mergeCell ref="P28:Q28"/>
    <mergeCell ref="P31:Q31"/>
    <mergeCell ref="P32:Q32"/>
    <mergeCell ref="N18:O18"/>
    <mergeCell ref="N20:O20"/>
    <mergeCell ref="N25:O25"/>
    <mergeCell ref="N26:O26"/>
    <mergeCell ref="N28:O28"/>
    <mergeCell ref="J33:K33"/>
    <mergeCell ref="J35:K35"/>
    <mergeCell ref="J26:K26"/>
    <mergeCell ref="L11:M11"/>
    <mergeCell ref="L12:M12"/>
    <mergeCell ref="L13:M13"/>
    <mergeCell ref="L16:M16"/>
    <mergeCell ref="L17:M17"/>
    <mergeCell ref="L20:M20"/>
    <mergeCell ref="L25:M25"/>
    <mergeCell ref="L26:M26"/>
    <mergeCell ref="L28:M28"/>
    <mergeCell ref="L31:M31"/>
    <mergeCell ref="L32:M32"/>
    <mergeCell ref="L33:M33"/>
    <mergeCell ref="L35:M35"/>
    <mergeCell ref="J20:K20"/>
    <mergeCell ref="J25:K25"/>
    <mergeCell ref="J27:K27"/>
    <mergeCell ref="J28:K28"/>
    <mergeCell ref="J31:K31"/>
    <mergeCell ref="A1:H1"/>
    <mergeCell ref="A8:E8"/>
    <mergeCell ref="F8:G8"/>
    <mergeCell ref="H8:I8"/>
    <mergeCell ref="J8:K8"/>
    <mergeCell ref="N8:O8"/>
    <mergeCell ref="A3:Q3"/>
    <mergeCell ref="A4:Q4"/>
    <mergeCell ref="A5:Q5"/>
    <mergeCell ref="A6:Q6"/>
    <mergeCell ref="P8:Q8"/>
    <mergeCell ref="L8:M8"/>
    <mergeCell ref="A10:Q10"/>
    <mergeCell ref="A11:E11"/>
    <mergeCell ref="A12:E12"/>
    <mergeCell ref="A13:E13"/>
    <mergeCell ref="F11:G11"/>
    <mergeCell ref="F12:G12"/>
    <mergeCell ref="F13:G13"/>
    <mergeCell ref="H11:I11"/>
    <mergeCell ref="H12:I12"/>
    <mergeCell ref="H13:I13"/>
    <mergeCell ref="J11:K11"/>
    <mergeCell ref="J12:K12"/>
    <mergeCell ref="J13:K13"/>
    <mergeCell ref="N11:O11"/>
    <mergeCell ref="N12:O12"/>
    <mergeCell ref="N13:O13"/>
    <mergeCell ref="A15:Q15"/>
    <mergeCell ref="A16:E16"/>
    <mergeCell ref="A17:E17"/>
    <mergeCell ref="A18:E18"/>
    <mergeCell ref="F18:G18"/>
    <mergeCell ref="F17:G17"/>
    <mergeCell ref="F16:G16"/>
    <mergeCell ref="H16:I16"/>
    <mergeCell ref="H17:I17"/>
    <mergeCell ref="H18:I18"/>
    <mergeCell ref="J16:K16"/>
    <mergeCell ref="J17:K17"/>
    <mergeCell ref="J18:K18"/>
    <mergeCell ref="L18:M18"/>
    <mergeCell ref="N16:O16"/>
    <mergeCell ref="N17:O17"/>
    <mergeCell ref="A26:E26"/>
    <mergeCell ref="F25:G25"/>
    <mergeCell ref="F26:G26"/>
    <mergeCell ref="A20:E20"/>
    <mergeCell ref="F20:G20"/>
    <mergeCell ref="A22:E22"/>
    <mergeCell ref="F22:G22"/>
    <mergeCell ref="L22:M22"/>
    <mergeCell ref="N22:O22"/>
    <mergeCell ref="P22:Q22"/>
    <mergeCell ref="A24:Q24"/>
    <mergeCell ref="A25:E25"/>
    <mergeCell ref="H22:I22"/>
    <mergeCell ref="J22:K22"/>
    <mergeCell ref="A28:E28"/>
    <mergeCell ref="F28:G28"/>
    <mergeCell ref="A30:E30"/>
    <mergeCell ref="F30:G30"/>
    <mergeCell ref="H30:I30"/>
    <mergeCell ref="A35:E35"/>
    <mergeCell ref="F35:G35"/>
    <mergeCell ref="L30:M30"/>
    <mergeCell ref="N30:O30"/>
    <mergeCell ref="P30:Q30"/>
    <mergeCell ref="A31:E31"/>
    <mergeCell ref="A32:E32"/>
    <mergeCell ref="A33:E33"/>
    <mergeCell ref="F33:G33"/>
    <mergeCell ref="F31:G31"/>
    <mergeCell ref="F32:G32"/>
    <mergeCell ref="J30:K30"/>
    <mergeCell ref="H32:I32"/>
    <mergeCell ref="H33:I33"/>
    <mergeCell ref="H35:I35"/>
    <mergeCell ref="J32:K32"/>
    <mergeCell ref="H20:I20"/>
    <mergeCell ref="H25:I25"/>
    <mergeCell ref="H26:I26"/>
    <mergeCell ref="H28:I28"/>
    <mergeCell ref="H31:I31"/>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Portada</vt:lpstr>
      <vt:lpstr>Fundamentacion</vt:lpstr>
      <vt:lpstr>Datos</vt:lpstr>
      <vt:lpstr>Estado de resultados</vt:lpstr>
      <vt:lpstr>FNE</vt:lpstr>
      <vt:lpstr>Balance General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Usuario de Windows</dc:creator>
  <cp:lastModifiedBy>Usuario de Windows</cp:lastModifiedBy>
  <dcterms:created xsi:type="dcterms:W3CDTF">2019-04-15T01:15:37Z</dcterms:created>
  <dcterms:modified xsi:type="dcterms:W3CDTF">2019-04-17T01:15:49Z</dcterms:modified>
</cp:coreProperties>
</file>