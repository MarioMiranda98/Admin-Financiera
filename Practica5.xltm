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dmin\Documents\Financieras\"/>
    </mc:Choice>
  </mc:AlternateContent>
  <bookViews>
    <workbookView xWindow="0" yWindow="0" windowWidth="20490" windowHeight="7350" activeTab="1"/>
  </bookViews>
  <sheets>
    <sheet name="Hoja2" sheetId="2" r:id="rId1"/>
    <sheet name="Hoja1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1" l="1"/>
  <c r="F17" i="1"/>
  <c r="F16" i="1"/>
  <c r="F15" i="1"/>
  <c r="F14" i="1"/>
  <c r="F13" i="1"/>
  <c r="F12" i="1"/>
  <c r="F11" i="1"/>
  <c r="F10" i="1"/>
  <c r="F8" i="1"/>
  <c r="F9" i="1"/>
  <c r="F7" i="1"/>
  <c r="E5" i="2"/>
</calcChain>
</file>

<file path=xl/sharedStrings.xml><?xml version="1.0" encoding="utf-8"?>
<sst xmlns="http://schemas.openxmlformats.org/spreadsheetml/2006/main" count="43" uniqueCount="32">
  <si>
    <t>Estado de resultados.</t>
  </si>
  <si>
    <t>Estado de resultados</t>
  </si>
  <si>
    <t>"Empresa"</t>
  </si>
  <si>
    <t>M.N /00</t>
  </si>
  <si>
    <t>Ventas</t>
  </si>
  <si>
    <t>-</t>
  </si>
  <si>
    <t>Datos.</t>
  </si>
  <si>
    <t>Capital Social</t>
  </si>
  <si>
    <t>Ventas mes Anterior</t>
  </si>
  <si>
    <t>Unidades</t>
  </si>
  <si>
    <t>Precio</t>
  </si>
  <si>
    <t>Costo de produccion unitario</t>
  </si>
  <si>
    <t>Gastos por ventas unitario</t>
  </si>
  <si>
    <t>=</t>
  </si>
  <si>
    <t>Gasto administrativo unitario</t>
  </si>
  <si>
    <t>Infraestructura (Activos)</t>
  </si>
  <si>
    <t>Valor de rescate</t>
  </si>
  <si>
    <t>Tiempo de vida</t>
  </si>
  <si>
    <t>Efectivo inicial</t>
  </si>
  <si>
    <t>Préstamo inicial</t>
  </si>
  <si>
    <t>IVA</t>
  </si>
  <si>
    <t>Venta neta</t>
  </si>
  <si>
    <t>Costos de producción</t>
  </si>
  <si>
    <t>Depreciación</t>
  </si>
  <si>
    <t>Utilidad De Bruta</t>
  </si>
  <si>
    <t>Gastos de Administración</t>
  </si>
  <si>
    <t>Gastos de Venta</t>
  </si>
  <si>
    <t>Utilidad De Operación</t>
  </si>
  <si>
    <t>Gastos Financieros</t>
  </si>
  <si>
    <t>Utilidad Antes del Impuesto</t>
  </si>
  <si>
    <t>Impuestos</t>
  </si>
  <si>
    <t>Utilidad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</si>
</sst>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4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0" xfId="0" quotePrefix="1" applyFont="1"/>
    <xf numFmtId="44" fontId="2" fillId="0" borderId="0" xfId="1" applyFont="1" applyAlignment="1">
      <alignment horizontal="center" wrapText="1"/>
    </xf>
    <xf numFmtId="44" fontId="2" fillId="0" borderId="0" xfId="1" applyFont="1" applyAlignment="1">
      <alignment horizontal="center"/>
    </xf>
    <xf numFmtId="0" fontId="2" fillId="0" borderId="0" xfId="0" applyFont="1" applyAlignment="1">
      <alignment horizontal="right"/>
    </xf>
    <xf numFmtId="44" fontId="2" fillId="0" borderId="0" xfId="0" applyNumberFormat="1" applyFont="1" applyAlignment="1">
      <alignment horizontal="center"/>
    </xf>
    <xf numFmtId="44" fontId="2" fillId="0" borderId="0" xfId="1" applyFont="1" applyAlignment="1">
      <alignment horizontal="left" wrapText="1"/>
    </xf>
    <xf numFmtId="44" fontId="2" fillId="0" borderId="0" xfId="1" applyFont="1" applyAlignment="1">
      <alignment horizontal="left"/>
    </xf>
    <xf numFmtId="4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44" fontId="2" fillId="0" borderId="0" xfId="1" applyFont="1" applyAlignment="1">
      <alignment horizontal="right"/>
    </xf>
    <xf numFmtId="0" fontId="2" fillId="0" borderId="0" xfId="0" applyFont="1" applyAlignment="1">
      <alignment horizontal="left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4"/>
  <sheetViews>
    <sheetView workbookViewId="0">
      <selection activeCell="E5" sqref="E5:G5"/>
    </sheetView>
  </sheetViews>
  <sheetFormatPr baseColWidth="10" defaultRowHeight="15" x14ac:dyDescent="0.25"/>
  <cols>
    <col min="1" max="16384" width="11.42578125" style="2"/>
  </cols>
  <sheetData>
    <row r="1" spans="1:8" ht="19.5" x14ac:dyDescent="0.35">
      <c r="A1" s="3" t="s">
        <v>6</v>
      </c>
      <c r="B1" s="3"/>
      <c r="C1" s="3"/>
      <c r="D1" s="3"/>
      <c r="E1" s="3"/>
      <c r="F1" s="3"/>
      <c r="G1" s="3"/>
      <c r="H1" s="3"/>
    </row>
    <row r="3" spans="1:8" x14ac:dyDescent="0.25">
      <c r="A3" s="4" t="s">
        <v>7</v>
      </c>
      <c r="B3" s="4"/>
      <c r="C3" s="4"/>
      <c r="D3" s="4"/>
      <c r="E3" s="10">
        <v>500000</v>
      </c>
      <c r="F3" s="10"/>
      <c r="G3" s="10"/>
    </row>
    <row r="4" spans="1:8" x14ac:dyDescent="0.25">
      <c r="A4" s="4" t="s">
        <v>8</v>
      </c>
      <c r="B4" s="4"/>
      <c r="C4" s="4"/>
      <c r="D4" s="4"/>
      <c r="E4" s="11">
        <v>600000</v>
      </c>
      <c r="F4" s="11"/>
      <c r="G4" s="11"/>
    </row>
    <row r="5" spans="1:8" x14ac:dyDescent="0.25">
      <c r="A5" s="13" t="s">
        <v>4</v>
      </c>
      <c r="B5" s="13"/>
      <c r="C5" s="13"/>
      <c r="D5" s="13"/>
      <c r="E5" s="12">
        <f>E6*E7</f>
        <v>500000</v>
      </c>
      <c r="F5" s="13"/>
      <c r="G5" s="13"/>
    </row>
    <row r="6" spans="1:8" x14ac:dyDescent="0.25">
      <c r="A6" s="13" t="s">
        <v>9</v>
      </c>
      <c r="B6" s="13"/>
      <c r="C6" s="13"/>
      <c r="D6" s="13"/>
      <c r="E6" s="8">
        <v>50000</v>
      </c>
      <c r="F6" s="8"/>
      <c r="G6" s="8"/>
    </row>
    <row r="7" spans="1:8" x14ac:dyDescent="0.25">
      <c r="A7" s="13" t="s">
        <v>10</v>
      </c>
      <c r="B7" s="13"/>
      <c r="C7" s="13"/>
      <c r="D7" s="13"/>
      <c r="E7" s="11">
        <v>10</v>
      </c>
      <c r="F7" s="11"/>
      <c r="G7" s="11"/>
    </row>
    <row r="8" spans="1:8" x14ac:dyDescent="0.25">
      <c r="A8" s="13" t="s">
        <v>11</v>
      </c>
      <c r="B8" s="13"/>
      <c r="C8" s="13"/>
      <c r="D8" s="13"/>
      <c r="E8" s="10">
        <v>3</v>
      </c>
      <c r="F8" s="10"/>
      <c r="G8" s="10"/>
    </row>
    <row r="9" spans="1:8" x14ac:dyDescent="0.25">
      <c r="A9" s="4" t="s">
        <v>12</v>
      </c>
      <c r="B9" s="4"/>
      <c r="C9" s="4"/>
      <c r="D9" s="4"/>
      <c r="E9" s="11">
        <v>2</v>
      </c>
      <c r="F9" s="11"/>
      <c r="G9" s="11"/>
    </row>
    <row r="10" spans="1:8" x14ac:dyDescent="0.25">
      <c r="A10" s="13" t="s">
        <v>14</v>
      </c>
      <c r="B10" s="13"/>
      <c r="C10" s="13"/>
      <c r="D10" s="13"/>
      <c r="E10" s="11">
        <v>3</v>
      </c>
      <c r="F10" s="11"/>
      <c r="G10" s="11"/>
    </row>
    <row r="11" spans="1:8" x14ac:dyDescent="0.25">
      <c r="A11" s="13" t="s">
        <v>15</v>
      </c>
      <c r="B11" s="13"/>
      <c r="C11" s="13"/>
      <c r="D11" s="13"/>
      <c r="E11" s="11">
        <v>100000</v>
      </c>
      <c r="F11" s="11"/>
      <c r="G11" s="11"/>
    </row>
    <row r="12" spans="1:8" x14ac:dyDescent="0.25">
      <c r="A12" s="13" t="s">
        <v>16</v>
      </c>
      <c r="B12" s="13"/>
      <c r="C12" s="13"/>
      <c r="D12" s="13"/>
      <c r="E12" s="11">
        <v>10000</v>
      </c>
      <c r="F12" s="11"/>
      <c r="G12" s="11"/>
    </row>
    <row r="13" spans="1:8" x14ac:dyDescent="0.25">
      <c r="A13" s="13" t="s">
        <v>17</v>
      </c>
      <c r="B13" s="13"/>
      <c r="C13" s="13"/>
      <c r="D13" s="13"/>
      <c r="E13" s="8">
        <v>5</v>
      </c>
      <c r="F13" s="8"/>
      <c r="G13" s="8"/>
    </row>
    <row r="14" spans="1:8" x14ac:dyDescent="0.25">
      <c r="A14" s="13" t="s">
        <v>18</v>
      </c>
      <c r="B14" s="13"/>
      <c r="C14" s="13"/>
      <c r="D14" s="13"/>
      <c r="E14" s="11">
        <v>90000</v>
      </c>
      <c r="F14" s="11"/>
      <c r="G14" s="11"/>
    </row>
    <row r="15" spans="1:8" x14ac:dyDescent="0.25">
      <c r="A15" s="13" t="s">
        <v>19</v>
      </c>
      <c r="B15" s="13"/>
      <c r="C15" s="13"/>
      <c r="D15" s="13"/>
      <c r="E15" s="14">
        <v>50000</v>
      </c>
      <c r="F15" s="14"/>
      <c r="G15" s="14"/>
    </row>
    <row r="16" spans="1:8" x14ac:dyDescent="0.25">
      <c r="A16" s="15"/>
      <c r="B16" s="15"/>
      <c r="C16" s="15"/>
      <c r="D16" s="15"/>
    </row>
    <row r="17" spans="1:4" x14ac:dyDescent="0.25">
      <c r="A17" s="15"/>
      <c r="B17" s="15"/>
      <c r="C17" s="15"/>
      <c r="D17" s="15"/>
    </row>
    <row r="18" spans="1:4" x14ac:dyDescent="0.25">
      <c r="A18" s="15"/>
      <c r="B18" s="15"/>
      <c r="C18" s="15"/>
      <c r="D18" s="15"/>
    </row>
    <row r="19" spans="1:4" x14ac:dyDescent="0.25">
      <c r="A19" s="15"/>
      <c r="B19" s="15"/>
      <c r="C19" s="15"/>
      <c r="D19" s="15"/>
    </row>
    <row r="20" spans="1:4" x14ac:dyDescent="0.25">
      <c r="A20" s="15"/>
      <c r="B20" s="15"/>
      <c r="C20" s="15"/>
      <c r="D20" s="15"/>
    </row>
    <row r="21" spans="1:4" x14ac:dyDescent="0.25">
      <c r="A21" s="15"/>
      <c r="B21" s="15"/>
      <c r="C21" s="15"/>
      <c r="D21" s="15"/>
    </row>
    <row r="22" spans="1:4" x14ac:dyDescent="0.25">
      <c r="A22" s="15"/>
      <c r="B22" s="15"/>
      <c r="C22" s="15"/>
      <c r="D22" s="15"/>
    </row>
    <row r="23" spans="1:4" x14ac:dyDescent="0.25">
      <c r="A23" s="15"/>
      <c r="B23" s="15"/>
      <c r="C23" s="15"/>
      <c r="D23" s="15"/>
    </row>
    <row r="24" spans="1:4" x14ac:dyDescent="0.25">
      <c r="A24" s="15"/>
      <c r="B24" s="15"/>
      <c r="C24" s="15"/>
      <c r="D24" s="15"/>
    </row>
    <row r="25" spans="1:4" x14ac:dyDescent="0.25">
      <c r="A25" s="15"/>
      <c r="B25" s="15"/>
      <c r="C25" s="15"/>
      <c r="D25" s="15"/>
    </row>
    <row r="26" spans="1:4" x14ac:dyDescent="0.25">
      <c r="A26" s="15"/>
      <c r="B26" s="15"/>
      <c r="C26" s="15"/>
      <c r="D26" s="15"/>
    </row>
    <row r="27" spans="1:4" x14ac:dyDescent="0.25">
      <c r="A27" s="15"/>
      <c r="B27" s="15"/>
      <c r="C27" s="15"/>
      <c r="D27" s="15"/>
    </row>
    <row r="28" spans="1:4" x14ac:dyDescent="0.25">
      <c r="A28" s="15"/>
      <c r="B28" s="15"/>
      <c r="C28" s="15"/>
      <c r="D28" s="15"/>
    </row>
    <row r="29" spans="1:4" x14ac:dyDescent="0.25">
      <c r="A29" s="15"/>
      <c r="B29" s="15"/>
      <c r="C29" s="15"/>
      <c r="D29" s="15"/>
    </row>
    <row r="30" spans="1:4" x14ac:dyDescent="0.25">
      <c r="A30" s="15"/>
      <c r="B30" s="15"/>
      <c r="C30" s="15"/>
      <c r="D30" s="15"/>
    </row>
    <row r="31" spans="1:4" x14ac:dyDescent="0.25">
      <c r="A31" s="15"/>
      <c r="B31" s="15"/>
      <c r="C31" s="15"/>
      <c r="D31" s="15"/>
    </row>
    <row r="32" spans="1:4" x14ac:dyDescent="0.25">
      <c r="A32" s="15"/>
      <c r="B32" s="15"/>
      <c r="C32" s="15"/>
      <c r="D32" s="15"/>
    </row>
    <row r="33" spans="1:4" x14ac:dyDescent="0.25">
      <c r="A33" s="15"/>
      <c r="B33" s="15"/>
      <c r="C33" s="15"/>
      <c r="D33" s="15"/>
    </row>
    <row r="34" spans="1:4" x14ac:dyDescent="0.25">
      <c r="A34" s="15"/>
      <c r="B34" s="15"/>
      <c r="C34" s="15"/>
      <c r="D34" s="15"/>
    </row>
  </sheetData>
  <mergeCells count="27">
    <mergeCell ref="A15:D15"/>
    <mergeCell ref="E15:G15"/>
    <mergeCell ref="A12:D12"/>
    <mergeCell ref="E12:G12"/>
    <mergeCell ref="A13:D13"/>
    <mergeCell ref="E13:G13"/>
    <mergeCell ref="A14:D14"/>
    <mergeCell ref="E14:G14"/>
    <mergeCell ref="A9:D9"/>
    <mergeCell ref="E9:G9"/>
    <mergeCell ref="A10:D10"/>
    <mergeCell ref="E10:G10"/>
    <mergeCell ref="A11:D11"/>
    <mergeCell ref="E11:G11"/>
    <mergeCell ref="A6:D6"/>
    <mergeCell ref="E6:G6"/>
    <mergeCell ref="A7:D7"/>
    <mergeCell ref="E7:G7"/>
    <mergeCell ref="A8:D8"/>
    <mergeCell ref="E8:G8"/>
    <mergeCell ref="A1:H1"/>
    <mergeCell ref="A3:D3"/>
    <mergeCell ref="E3:G3"/>
    <mergeCell ref="A4:D4"/>
    <mergeCell ref="E4:G4"/>
    <mergeCell ref="A5:D5"/>
    <mergeCell ref="E5:G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abSelected="1" workbookViewId="0">
      <selection activeCell="J18" sqref="J18"/>
    </sheetView>
  </sheetViews>
  <sheetFormatPr baseColWidth="10" defaultRowHeight="15" x14ac:dyDescent="0.25"/>
  <cols>
    <col min="1" max="1" width="3.5703125" style="2" customWidth="1"/>
    <col min="2" max="16384" width="11.42578125" style="2"/>
  </cols>
  <sheetData>
    <row r="1" spans="1:8" ht="19.5" x14ac:dyDescent="0.35">
      <c r="A1" s="3" t="s">
        <v>0</v>
      </c>
      <c r="B1" s="1"/>
      <c r="C1" s="1"/>
      <c r="D1" s="1"/>
      <c r="E1" s="1"/>
      <c r="F1" s="1"/>
      <c r="G1" s="1"/>
      <c r="H1" s="1"/>
    </row>
    <row r="4" spans="1:8" x14ac:dyDescent="0.25">
      <c r="A4" s="1" t="s">
        <v>1</v>
      </c>
      <c r="B4" s="1"/>
      <c r="C4" s="1"/>
      <c r="D4" s="1"/>
      <c r="E4" s="1"/>
      <c r="F4" s="1"/>
      <c r="G4" s="1"/>
      <c r="H4" s="1"/>
    </row>
    <row r="5" spans="1:8" x14ac:dyDescent="0.25">
      <c r="A5" s="1" t="s">
        <v>2</v>
      </c>
      <c r="B5" s="1"/>
      <c r="C5" s="1"/>
      <c r="D5" s="1"/>
      <c r="E5" s="1"/>
      <c r="F5" s="1"/>
      <c r="G5" s="1"/>
      <c r="H5" s="1"/>
    </row>
    <row r="6" spans="1:8" x14ac:dyDescent="0.25">
      <c r="A6" s="1" t="s">
        <v>3</v>
      </c>
      <c r="B6" s="1"/>
      <c r="C6" s="1"/>
      <c r="D6" s="1"/>
      <c r="E6" s="1"/>
      <c r="F6" s="1"/>
      <c r="G6" s="1"/>
      <c r="H6" s="1"/>
    </row>
    <row r="7" spans="1:8" x14ac:dyDescent="0.25">
      <c r="B7" s="4" t="s">
        <v>4</v>
      </c>
      <c r="C7" s="4"/>
      <c r="D7" s="4"/>
      <c r="E7" s="4"/>
      <c r="F7" s="7">
        <f>Hoja2!E5</f>
        <v>500000</v>
      </c>
      <c r="G7" s="7"/>
      <c r="H7" s="7"/>
    </row>
    <row r="8" spans="1:8" x14ac:dyDescent="0.25">
      <c r="A8" s="5" t="s">
        <v>5</v>
      </c>
      <c r="B8" s="13" t="s">
        <v>20</v>
      </c>
      <c r="C8" s="13"/>
      <c r="D8" s="13"/>
      <c r="E8" s="13"/>
      <c r="F8" s="7">
        <f>F7-F9</f>
        <v>68965.517241379304</v>
      </c>
      <c r="G8" s="7"/>
      <c r="H8" s="7"/>
    </row>
    <row r="9" spans="1:8" x14ac:dyDescent="0.25">
      <c r="A9" s="5" t="s">
        <v>13</v>
      </c>
      <c r="B9" s="13" t="s">
        <v>21</v>
      </c>
      <c r="C9" s="13"/>
      <c r="D9" s="13"/>
      <c r="E9" s="13"/>
      <c r="F9" s="7">
        <f>F7/1.16</f>
        <v>431034.4827586207</v>
      </c>
      <c r="G9" s="7"/>
      <c r="H9" s="7"/>
    </row>
    <row r="10" spans="1:8" x14ac:dyDescent="0.25">
      <c r="A10" s="5" t="s">
        <v>5</v>
      </c>
      <c r="B10" s="13" t="s">
        <v>22</v>
      </c>
      <c r="C10" s="13"/>
      <c r="D10" s="13"/>
      <c r="E10" s="13"/>
      <c r="F10" s="9">
        <f>Hoja2!E8*Hoja2!E6</f>
        <v>150000</v>
      </c>
      <c r="G10" s="1"/>
      <c r="H10" s="1"/>
    </row>
    <row r="11" spans="1:8" x14ac:dyDescent="0.25">
      <c r="A11" s="5" t="s">
        <v>5</v>
      </c>
      <c r="B11" s="13" t="s">
        <v>23</v>
      </c>
      <c r="C11" s="13"/>
      <c r="D11" s="13"/>
      <c r="E11" s="13"/>
      <c r="F11" s="11">
        <f>((Hoja2!E11-Hoja2!E12)/Hoja2!E13)/12</f>
        <v>1500</v>
      </c>
      <c r="G11" s="11"/>
      <c r="H11" s="11"/>
    </row>
    <row r="12" spans="1:8" x14ac:dyDescent="0.25">
      <c r="A12" s="5" t="s">
        <v>13</v>
      </c>
      <c r="B12" s="13" t="s">
        <v>24</v>
      </c>
      <c r="C12" s="13"/>
      <c r="D12" s="13"/>
      <c r="E12" s="13"/>
      <c r="F12" s="9">
        <f>F9-(F10+F11)</f>
        <v>279534.4827586207</v>
      </c>
      <c r="G12" s="1"/>
      <c r="H12" s="1"/>
    </row>
    <row r="13" spans="1:8" x14ac:dyDescent="0.25">
      <c r="A13" s="5" t="s">
        <v>5</v>
      </c>
      <c r="B13" s="13" t="s">
        <v>25</v>
      </c>
      <c r="C13" s="13"/>
      <c r="D13" s="13"/>
      <c r="E13" s="13"/>
      <c r="F13" s="9">
        <f>Hoja2!E10*Hoja2!E6</f>
        <v>150000</v>
      </c>
      <c r="G13" s="1"/>
      <c r="H13" s="1"/>
    </row>
    <row r="14" spans="1:8" x14ac:dyDescent="0.25">
      <c r="A14" s="5" t="s">
        <v>5</v>
      </c>
      <c r="B14" s="13" t="s">
        <v>26</v>
      </c>
      <c r="C14" s="13"/>
      <c r="D14" s="13"/>
      <c r="E14" s="13"/>
      <c r="F14" s="9">
        <f>Hoja2!E9*Hoja2!E6</f>
        <v>100000</v>
      </c>
      <c r="G14" s="1"/>
      <c r="H14" s="1"/>
    </row>
    <row r="15" spans="1:8" x14ac:dyDescent="0.25">
      <c r="A15" s="5" t="s">
        <v>13</v>
      </c>
      <c r="B15" s="13" t="s">
        <v>27</v>
      </c>
      <c r="C15" s="13"/>
      <c r="D15" s="13"/>
      <c r="E15" s="13"/>
      <c r="F15" s="9">
        <f>F12-(F13+F14)</f>
        <v>29534.482758620696</v>
      </c>
      <c r="G15" s="1"/>
      <c r="H15" s="1"/>
    </row>
    <row r="16" spans="1:8" x14ac:dyDescent="0.25">
      <c r="A16" s="5" t="s">
        <v>5</v>
      </c>
      <c r="B16" s="4" t="s">
        <v>28</v>
      </c>
      <c r="C16" s="4"/>
      <c r="D16" s="4"/>
      <c r="E16" s="4"/>
      <c r="F16" s="7">
        <f>Hoja2!E15*(0.02)</f>
        <v>1000</v>
      </c>
      <c r="G16" s="7"/>
      <c r="H16" s="7"/>
    </row>
    <row r="17" spans="1:8" x14ac:dyDescent="0.25">
      <c r="A17" s="5" t="s">
        <v>13</v>
      </c>
      <c r="B17" s="13" t="s">
        <v>29</v>
      </c>
      <c r="C17" s="13"/>
      <c r="D17" s="13"/>
      <c r="E17" s="13"/>
      <c r="F17" s="6">
        <f>F15-F16</f>
        <v>28534.482758620696</v>
      </c>
      <c r="G17" s="6"/>
      <c r="H17" s="6"/>
    </row>
    <row r="18" spans="1:8" x14ac:dyDescent="0.25">
      <c r="A18" s="5" t="s">
        <v>5</v>
      </c>
      <c r="B18" s="13" t="s">
        <v>30</v>
      </c>
      <c r="C18" s="13"/>
      <c r="D18" s="13"/>
      <c r="E18" s="13"/>
      <c r="F18" s="7">
        <v>0</v>
      </c>
      <c r="G18" s="7"/>
      <c r="H18" s="7"/>
    </row>
    <row r="19" spans="1:8" x14ac:dyDescent="0.25">
      <c r="A19" s="5" t="s">
        <v>13</v>
      </c>
      <c r="B19" s="13" t="s">
        <v>31</v>
      </c>
      <c r="C19" s="13"/>
      <c r="D19" s="13"/>
      <c r="E19" s="13"/>
      <c r="F19" s="9">
        <f>F17-F18</f>
        <v>28534.482758620696</v>
      </c>
      <c r="G19" s="1"/>
      <c r="H19" s="1"/>
    </row>
  </sheetData>
  <mergeCells count="30">
    <mergeCell ref="B17:E17"/>
    <mergeCell ref="F17:H17"/>
    <mergeCell ref="B18:E18"/>
    <mergeCell ref="F18:H18"/>
    <mergeCell ref="B19:E19"/>
    <mergeCell ref="F19:H19"/>
    <mergeCell ref="B14:E14"/>
    <mergeCell ref="F14:H14"/>
    <mergeCell ref="B15:E15"/>
    <mergeCell ref="F15:H15"/>
    <mergeCell ref="B16:E16"/>
    <mergeCell ref="F16:H16"/>
    <mergeCell ref="B11:E11"/>
    <mergeCell ref="F11:H11"/>
    <mergeCell ref="B12:E12"/>
    <mergeCell ref="F12:H12"/>
    <mergeCell ref="B13:E13"/>
    <mergeCell ref="F13:H13"/>
    <mergeCell ref="B9:E9"/>
    <mergeCell ref="F7:H7"/>
    <mergeCell ref="F8:H8"/>
    <mergeCell ref="F9:H9"/>
    <mergeCell ref="B10:E10"/>
    <mergeCell ref="F10:H10"/>
    <mergeCell ref="A1:H1"/>
    <mergeCell ref="A4:H4"/>
    <mergeCell ref="A5:H5"/>
    <mergeCell ref="A6:H6"/>
    <mergeCell ref="B7:E7"/>
    <mergeCell ref="B8:E8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Hoja2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2019-04-15T01:15:37Z</dcterms:created>
  <dcterms:modified xsi:type="dcterms:W3CDTF">2019-04-15T01:50:12Z</dcterms:modified>
</cp:coreProperties>
</file>