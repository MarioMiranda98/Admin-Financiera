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tmp" ContentType="image/p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01"/>
  <workbookPr defaultThemeVersion="166925"/>
  <mc:AlternateContent xmlns:mc="http://schemas.openxmlformats.org/markup-compatibility/2006">
    <mc:Choice Requires="x15">
      <x15ac:absPath xmlns:x15ac="http://schemas.microsoft.com/office/spreadsheetml/2010/11/ac" url="C:\Users\FAROL\Documents\Financieras\"/>
    </mc:Choice>
  </mc:AlternateContent>
  <xr:revisionPtr revIDLastSave="0" documentId="13_ncr:1_{DD9765E3-D810-4FCC-82F5-16AD731FCA16}" xr6:coauthVersionLast="43" xr6:coauthVersionMax="43" xr10:uidLastSave="{00000000-0000-0000-0000-000000000000}"/>
  <bookViews>
    <workbookView xWindow="-120" yWindow="-120" windowWidth="20730" windowHeight="11160" xr2:uid="{7AB73D58-0633-4A62-AF76-0E7EF1F5DC36}"/>
  </bookViews>
  <sheets>
    <sheet name="Portada" sheetId="1" r:id="rId1"/>
    <sheet name="Fundamentacion" sheetId="2" r:id="rId2"/>
    <sheet name="Objetivo" sheetId="3" r:id="rId3"/>
    <sheet name="Datos" sheetId="4" r:id="rId4"/>
    <sheet name="Balance General Incial" sheetId="8" r:id="rId5"/>
    <sheet name="Estado de Resultados" sheetId="5" r:id="rId6"/>
    <sheet name="FNE" sheetId="6" r:id="rId7"/>
    <sheet name="Balance General" sheetId="7" r:id="rId8"/>
    <sheet name="Metodos Evaluacion" sheetId="10" r:id="rId9"/>
    <sheet name="Punto Equilibrio" sheetId="11" r:id="rId10"/>
  </sheets>
  <externalReferences>
    <externalReference r:id="rId11"/>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33" i="11" l="1"/>
  <c r="Q30" i="11"/>
  <c r="Q29" i="11"/>
  <c r="Q28" i="11"/>
  <c r="Q27" i="11"/>
  <c r="Q26" i="11"/>
  <c r="Q25" i="11"/>
  <c r="Q24" i="11"/>
  <c r="Q23" i="11"/>
  <c r="Q22" i="11"/>
  <c r="Q21" i="11"/>
  <c r="O30" i="11"/>
  <c r="O29" i="11"/>
  <c r="O28" i="11"/>
  <c r="O27" i="11"/>
  <c r="O26" i="11"/>
  <c r="O25" i="11"/>
  <c r="O24" i="11"/>
  <c r="O23" i="11"/>
  <c r="O22" i="11"/>
  <c r="O21" i="11"/>
  <c r="M30" i="11"/>
  <c r="M29" i="11"/>
  <c r="M28" i="11"/>
  <c r="M27" i="11"/>
  <c r="M26" i="11"/>
  <c r="M25" i="11"/>
  <c r="M24" i="11"/>
  <c r="M23" i="11"/>
  <c r="M22" i="11"/>
  <c r="M21" i="11"/>
  <c r="K30" i="11"/>
  <c r="K29" i="11"/>
  <c r="K28" i="11"/>
  <c r="K27" i="11"/>
  <c r="K26" i="11"/>
  <c r="K25" i="11"/>
  <c r="K24" i="11"/>
  <c r="K23" i="11"/>
  <c r="K22" i="11"/>
  <c r="K21" i="11"/>
  <c r="Y22" i="11"/>
  <c r="Y23" i="11"/>
  <c r="Y24" i="11"/>
  <c r="Y25" i="11"/>
  <c r="Y26" i="11"/>
  <c r="Y27" i="11"/>
  <c r="Y28" i="11"/>
  <c r="Y29" i="11"/>
  <c r="Y30" i="11"/>
  <c r="Y21" i="11"/>
  <c r="W22" i="11"/>
  <c r="W23" i="11"/>
  <c r="W24" i="11"/>
  <c r="W25" i="11"/>
  <c r="W26" i="11"/>
  <c r="W27" i="11"/>
  <c r="W28" i="11"/>
  <c r="W29" i="11"/>
  <c r="W30" i="11"/>
  <c r="W21" i="11"/>
  <c r="U22" i="11"/>
  <c r="U23" i="11"/>
  <c r="U24" i="11"/>
  <c r="U25" i="11"/>
  <c r="U26" i="11"/>
  <c r="U27" i="11"/>
  <c r="U28" i="11"/>
  <c r="U29" i="11"/>
  <c r="U30" i="11"/>
  <c r="U21" i="11"/>
  <c r="S22" i="11"/>
  <c r="S23" i="11"/>
  <c r="S24" i="11"/>
  <c r="S25" i="11"/>
  <c r="S26" i="11"/>
  <c r="S27" i="11"/>
  <c r="S28" i="11"/>
  <c r="S29" i="11"/>
  <c r="S30" i="11"/>
  <c r="S21" i="11"/>
  <c r="V13" i="11"/>
  <c r="T13" i="11"/>
  <c r="R13" i="11"/>
  <c r="P13" i="11"/>
  <c r="N13" i="11"/>
  <c r="L13" i="11"/>
  <c r="J13" i="11"/>
  <c r="H13" i="11"/>
  <c r="F13" i="11"/>
  <c r="D13" i="11"/>
  <c r="V11" i="11"/>
  <c r="T11" i="11"/>
  <c r="R11" i="11"/>
  <c r="P11" i="11"/>
  <c r="N11" i="11"/>
  <c r="L11" i="11"/>
  <c r="J11" i="11"/>
  <c r="H11" i="11"/>
  <c r="F11" i="11"/>
  <c r="D11" i="11"/>
  <c r="V10" i="11"/>
  <c r="V12" i="11" s="1"/>
  <c r="T10" i="11"/>
  <c r="T12" i="11" s="1"/>
  <c r="R10" i="11"/>
  <c r="R12" i="11" s="1"/>
  <c r="P10" i="11"/>
  <c r="P12" i="11" s="1"/>
  <c r="N10" i="11"/>
  <c r="N12" i="11" s="1"/>
  <c r="L10" i="11"/>
  <c r="L12" i="11" s="1"/>
  <c r="J10" i="11"/>
  <c r="J12" i="11" s="1"/>
  <c r="H10" i="11"/>
  <c r="H12" i="11" s="1"/>
  <c r="F10" i="11"/>
  <c r="F12" i="11" s="1"/>
  <c r="D10" i="11"/>
  <c r="D12" i="11" s="1"/>
  <c r="V5" i="11"/>
  <c r="T5" i="11"/>
  <c r="R5" i="11"/>
  <c r="P5" i="11"/>
  <c r="N5" i="11"/>
  <c r="L5" i="11"/>
  <c r="J5" i="11"/>
  <c r="H5" i="11"/>
  <c r="F5" i="11"/>
  <c r="D5" i="11"/>
  <c r="V4" i="11"/>
  <c r="T4" i="11"/>
  <c r="R4" i="11"/>
  <c r="P4" i="11"/>
  <c r="N4" i="11"/>
  <c r="L4" i="11"/>
  <c r="J4" i="11"/>
  <c r="H4" i="11"/>
  <c r="F4" i="11"/>
  <c r="D4" i="11"/>
  <c r="F14" i="11" l="1"/>
  <c r="F16" i="11"/>
  <c r="F15" i="11"/>
  <c r="F17" i="11"/>
  <c r="R15" i="11"/>
  <c r="R17" i="11"/>
  <c r="R16" i="11"/>
  <c r="R14" i="11"/>
  <c r="J15" i="11"/>
  <c r="J17" i="11"/>
  <c r="J16" i="11"/>
  <c r="J14" i="11"/>
  <c r="N15" i="11"/>
  <c r="N17" i="11"/>
  <c r="N16" i="11"/>
  <c r="N14" i="11"/>
  <c r="V15" i="11"/>
  <c r="V17" i="11"/>
  <c r="V16" i="11"/>
  <c r="V14" i="11"/>
  <c r="D15" i="11"/>
  <c r="D17" i="11"/>
  <c r="D14" i="11"/>
  <c r="D16" i="11"/>
  <c r="G21" i="11" s="1"/>
  <c r="H15" i="11"/>
  <c r="H17" i="11"/>
  <c r="H16" i="11"/>
  <c r="H14" i="11"/>
  <c r="L15" i="11"/>
  <c r="L17" i="11"/>
  <c r="L16" i="11"/>
  <c r="L14" i="11"/>
  <c r="P15" i="11"/>
  <c r="P17" i="11"/>
  <c r="P16" i="11"/>
  <c r="P14" i="11"/>
  <c r="T15" i="11"/>
  <c r="T17" i="11"/>
  <c r="T16" i="11"/>
  <c r="T14" i="11"/>
  <c r="C29" i="11" l="1"/>
  <c r="I29" i="11"/>
  <c r="C27" i="11"/>
  <c r="I27" i="11"/>
  <c r="C25" i="11"/>
  <c r="I25" i="11"/>
  <c r="C23" i="11"/>
  <c r="I23" i="11"/>
  <c r="I21" i="11"/>
  <c r="C30" i="11"/>
  <c r="I30" i="11"/>
  <c r="C26" i="11"/>
  <c r="I26" i="11"/>
  <c r="C24" i="11"/>
  <c r="I24" i="11"/>
  <c r="C28" i="11"/>
  <c r="I28" i="11"/>
  <c r="G22" i="11"/>
  <c r="G29" i="11"/>
  <c r="E29" i="11"/>
  <c r="G27" i="11"/>
  <c r="E27" i="11"/>
  <c r="G25" i="11"/>
  <c r="E25" i="11"/>
  <c r="G23" i="11"/>
  <c r="E23" i="11"/>
  <c r="C21" i="11"/>
  <c r="E21" i="11"/>
  <c r="G30" i="11"/>
  <c r="E30" i="11"/>
  <c r="G26" i="11"/>
  <c r="E26" i="11"/>
  <c r="G24" i="11"/>
  <c r="E24" i="11"/>
  <c r="G28" i="11"/>
  <c r="E28" i="11"/>
  <c r="E22" i="11"/>
  <c r="C22" i="11"/>
  <c r="I1048576" i="11"/>
  <c r="I22" i="11"/>
  <c r="C42" i="10" l="1"/>
  <c r="C37" i="10"/>
  <c r="W20" i="7" l="1"/>
  <c r="W19" i="7"/>
  <c r="W18" i="7"/>
  <c r="W17" i="7"/>
  <c r="W16" i="7"/>
  <c r="E13" i="6"/>
  <c r="M37" i="5"/>
  <c r="M34" i="5"/>
  <c r="M33" i="5"/>
  <c r="M32" i="5"/>
  <c r="M31" i="5"/>
  <c r="M30" i="5"/>
  <c r="U20" i="7"/>
  <c r="U19" i="7"/>
  <c r="U18" i="7"/>
  <c r="U17" i="7"/>
  <c r="U16" i="7"/>
  <c r="E12" i="6"/>
  <c r="K37" i="5"/>
  <c r="K34" i="5"/>
  <c r="K33" i="5"/>
  <c r="K32" i="5"/>
  <c r="K31" i="5"/>
  <c r="K30" i="5"/>
  <c r="W30" i="7"/>
  <c r="U30" i="7"/>
  <c r="S30" i="7"/>
  <c r="S20" i="7"/>
  <c r="S19" i="7"/>
  <c r="S18" i="7"/>
  <c r="S17" i="7"/>
  <c r="S16" i="7"/>
  <c r="E11" i="6"/>
  <c r="I37" i="5"/>
  <c r="I34" i="5"/>
  <c r="I33" i="5"/>
  <c r="I32" i="5"/>
  <c r="I31" i="5"/>
  <c r="I30" i="5"/>
  <c r="Q30" i="7"/>
  <c r="Q20" i="7"/>
  <c r="Q19" i="7"/>
  <c r="Q18" i="7"/>
  <c r="Q17" i="7"/>
  <c r="Q16" i="7"/>
  <c r="E10" i="6"/>
  <c r="G40" i="5"/>
  <c r="G39" i="5"/>
  <c r="G37" i="5"/>
  <c r="G34" i="5"/>
  <c r="G33" i="5"/>
  <c r="G32" i="5"/>
  <c r="G31" i="5"/>
  <c r="G30" i="5"/>
  <c r="O30" i="7"/>
  <c r="O20" i="7"/>
  <c r="O19" i="7"/>
  <c r="O18" i="7"/>
  <c r="O17" i="7"/>
  <c r="O16" i="7"/>
  <c r="O21" i="7" s="1"/>
  <c r="E9" i="6"/>
  <c r="E30" i="5"/>
  <c r="E31" i="5"/>
  <c r="E34" i="5"/>
  <c r="E33" i="5"/>
  <c r="E32" i="5"/>
  <c r="E37" i="5"/>
  <c r="M30" i="7"/>
  <c r="M20" i="7"/>
  <c r="M18" i="7"/>
  <c r="K18" i="7"/>
  <c r="M19" i="7"/>
  <c r="M17" i="7"/>
  <c r="M16" i="7"/>
  <c r="M21" i="7" s="1"/>
  <c r="E8" i="6"/>
  <c r="M18" i="5"/>
  <c r="M15" i="5"/>
  <c r="K20" i="7"/>
  <c r="K30" i="7"/>
  <c r="K19" i="7"/>
  <c r="K17" i="7"/>
  <c r="K16" i="7"/>
  <c r="K21" i="7" s="1"/>
  <c r="E7" i="6"/>
  <c r="K18" i="5"/>
  <c r="K15" i="5"/>
  <c r="I30" i="7"/>
  <c r="G30" i="7"/>
  <c r="I20" i="7"/>
  <c r="I19" i="7"/>
  <c r="I18" i="7"/>
  <c r="I17" i="7"/>
  <c r="I16" i="7"/>
  <c r="I21" i="7" s="1"/>
  <c r="E6" i="6"/>
  <c r="I18" i="5"/>
  <c r="I15" i="5"/>
  <c r="G20" i="7"/>
  <c r="G19" i="7"/>
  <c r="G18" i="7"/>
  <c r="G17" i="7"/>
  <c r="G21" i="7" s="1"/>
  <c r="G16" i="7"/>
  <c r="E5" i="6"/>
  <c r="G18" i="5"/>
  <c r="G15" i="5"/>
  <c r="Q21" i="7" l="1"/>
  <c r="U21" i="7"/>
  <c r="S21" i="7"/>
  <c r="W21" i="7"/>
  <c r="J16" i="8" l="1"/>
  <c r="J14" i="8"/>
  <c r="J13" i="8"/>
  <c r="J10" i="8"/>
  <c r="J9" i="8"/>
  <c r="D19" i="8"/>
  <c r="D17" i="8"/>
  <c r="D16" i="8"/>
  <c r="D15" i="8"/>
  <c r="D14" i="8"/>
  <c r="D10" i="8"/>
  <c r="D9" i="8"/>
  <c r="C16" i="4"/>
  <c r="E30" i="7" s="1"/>
  <c r="E19" i="7"/>
  <c r="E17" i="7"/>
  <c r="E16" i="7"/>
  <c r="G4" i="6"/>
  <c r="E15" i="5" l="1"/>
  <c r="C68" i="4" l="1"/>
  <c r="C69" i="4" s="1"/>
  <c r="C67" i="4"/>
  <c r="C13" i="4"/>
  <c r="E20" i="7" s="1"/>
  <c r="C9" i="4"/>
  <c r="C54" i="4"/>
  <c r="C55" i="4" s="1"/>
  <c r="C56" i="4" s="1"/>
  <c r="C57" i="4" s="1"/>
  <c r="C58" i="4" s="1"/>
  <c r="C59" i="4" s="1"/>
  <c r="C60" i="4" s="1"/>
  <c r="C61" i="4" s="1"/>
  <c r="C62" i="4" s="1"/>
  <c r="I53" i="4"/>
  <c r="E53" i="4"/>
  <c r="E54" i="4" s="1"/>
  <c r="E55" i="4" s="1"/>
  <c r="E56" i="4" s="1"/>
  <c r="E57" i="4" s="1"/>
  <c r="E58" i="4" s="1"/>
  <c r="E59" i="4" s="1"/>
  <c r="E60" i="4" s="1"/>
  <c r="E61" i="4" s="1"/>
  <c r="E62" i="4" s="1"/>
  <c r="C53" i="4"/>
  <c r="E68" i="4" l="1"/>
  <c r="E69" i="4" s="1"/>
  <c r="E18" i="7"/>
  <c r="E21" i="7" s="1"/>
  <c r="E18" i="5"/>
  <c r="E4" i="6" s="1"/>
  <c r="E21" i="5"/>
  <c r="E13" i="5"/>
  <c r="E20" i="5"/>
  <c r="E14" i="5"/>
  <c r="E12" i="5"/>
  <c r="E8" i="5"/>
  <c r="E67" i="4"/>
  <c r="C70" i="4"/>
  <c r="E16" i="5" s="1"/>
  <c r="G68" i="4"/>
  <c r="E40" i="4"/>
  <c r="E39" i="4"/>
  <c r="G29" i="4"/>
  <c r="G40" i="4" s="1"/>
  <c r="G28" i="4"/>
  <c r="G39" i="4" s="1"/>
  <c r="G27" i="4"/>
  <c r="I27" i="4" s="1"/>
  <c r="K27" i="4" s="1"/>
  <c r="M27" i="4" s="1"/>
  <c r="E38" i="4" s="1"/>
  <c r="G38" i="4" s="1"/>
  <c r="I38" i="4" s="1"/>
  <c r="K38" i="4" s="1"/>
  <c r="M38" i="4" s="1"/>
  <c r="G26" i="4"/>
  <c r="I26" i="4" s="1"/>
  <c r="K26" i="4" s="1"/>
  <c r="M26" i="4" s="1"/>
  <c r="E37" i="4" s="1"/>
  <c r="G37" i="4" s="1"/>
  <c r="I37" i="4" s="1"/>
  <c r="K37" i="4" s="1"/>
  <c r="M37" i="4" s="1"/>
  <c r="G24" i="4"/>
  <c r="I24" i="4" s="1"/>
  <c r="K24" i="4" s="1"/>
  <c r="M24" i="4" s="1"/>
  <c r="E35" i="4" s="1"/>
  <c r="G35" i="4" s="1"/>
  <c r="I35" i="4" s="1"/>
  <c r="K35" i="4" s="1"/>
  <c r="M35" i="4" s="1"/>
  <c r="G23" i="4"/>
  <c r="I23" i="4" s="1"/>
  <c r="K23" i="4" s="1"/>
  <c r="M23" i="4" s="1"/>
  <c r="E34" i="4" s="1"/>
  <c r="G34" i="4" s="1"/>
  <c r="I34" i="4" s="1"/>
  <c r="K34" i="4" s="1"/>
  <c r="M34" i="4" s="1"/>
  <c r="G22" i="4"/>
  <c r="I22" i="4" s="1"/>
  <c r="K22" i="4" s="1"/>
  <c r="M22" i="4" s="1"/>
  <c r="E33" i="4" s="1"/>
  <c r="G33" i="4" s="1"/>
  <c r="I33" i="4" s="1"/>
  <c r="K33" i="4" s="1"/>
  <c r="M33" i="4" s="1"/>
  <c r="G25" i="4"/>
  <c r="E21" i="4"/>
  <c r="G53" i="4" s="1"/>
  <c r="G21" i="5" l="1"/>
  <c r="G13" i="5"/>
  <c r="G11" i="5"/>
  <c r="G12" i="5"/>
  <c r="G20" i="5"/>
  <c r="G14" i="5"/>
  <c r="G8" i="5"/>
  <c r="G69" i="4"/>
  <c r="I68" i="4"/>
  <c r="E70" i="4"/>
  <c r="G16" i="5" s="1"/>
  <c r="G67" i="4"/>
  <c r="E9" i="5"/>
  <c r="E10" i="5" s="1"/>
  <c r="E19" i="5" s="1"/>
  <c r="E22" i="5" s="1"/>
  <c r="E11" i="5"/>
  <c r="E17" i="5" s="1"/>
  <c r="I54" i="4"/>
  <c r="I28" i="4"/>
  <c r="G21" i="4"/>
  <c r="I29" i="4"/>
  <c r="I25" i="4"/>
  <c r="I20" i="5" l="1"/>
  <c r="I13" i="5"/>
  <c r="I11" i="5"/>
  <c r="I12" i="5"/>
  <c r="I8" i="5"/>
  <c r="I21" i="5"/>
  <c r="I14" i="5"/>
  <c r="G9" i="5"/>
  <c r="G10" i="5"/>
  <c r="G19" i="5" s="1"/>
  <c r="G22" i="5" s="1"/>
  <c r="G17" i="5"/>
  <c r="E23" i="5"/>
  <c r="E24" i="5" s="1"/>
  <c r="I67" i="4"/>
  <c r="G70" i="4"/>
  <c r="I16" i="5" s="1"/>
  <c r="I69" i="4"/>
  <c r="K68" i="4"/>
  <c r="I55" i="4"/>
  <c r="K25" i="4"/>
  <c r="G54" i="4"/>
  <c r="I21" i="4"/>
  <c r="I40" i="4"/>
  <c r="K29" i="4"/>
  <c r="I39" i="4"/>
  <c r="K28" i="4"/>
  <c r="G23" i="5" l="1"/>
  <c r="G24" i="5" s="1"/>
  <c r="I9" i="5"/>
  <c r="I10" i="5" s="1"/>
  <c r="I19" i="5" s="1"/>
  <c r="I22" i="5" s="1"/>
  <c r="I17" i="5"/>
  <c r="K20" i="5"/>
  <c r="K13" i="5"/>
  <c r="K11" i="5"/>
  <c r="K12" i="5"/>
  <c r="K8" i="5"/>
  <c r="K21" i="5"/>
  <c r="K14" i="5"/>
  <c r="K69" i="4"/>
  <c r="M68" i="4"/>
  <c r="E31" i="7"/>
  <c r="C4" i="6"/>
  <c r="I4" i="6" s="1"/>
  <c r="I70" i="4"/>
  <c r="K16" i="5" s="1"/>
  <c r="K67" i="4"/>
  <c r="K39" i="4"/>
  <c r="M28" i="4"/>
  <c r="M39" i="4" s="1"/>
  <c r="K40" i="4"/>
  <c r="M29" i="4"/>
  <c r="M40" i="4" s="1"/>
  <c r="G55" i="4"/>
  <c r="K21" i="4"/>
  <c r="I56" i="4"/>
  <c r="M25" i="4"/>
  <c r="C5" i="6" l="1"/>
  <c r="G31" i="7"/>
  <c r="G33" i="7" s="1"/>
  <c r="I23" i="5"/>
  <c r="I24" i="5" s="1"/>
  <c r="M20" i="5"/>
  <c r="M14" i="5"/>
  <c r="M12" i="5"/>
  <c r="M8" i="5"/>
  <c r="M13" i="5"/>
  <c r="M21" i="5"/>
  <c r="M11" i="5"/>
  <c r="E11" i="7"/>
  <c r="C4" i="10"/>
  <c r="G5" i="6"/>
  <c r="K9" i="5"/>
  <c r="K10" i="5" s="1"/>
  <c r="K19" i="5" s="1"/>
  <c r="K22" i="5" s="1"/>
  <c r="K17" i="5"/>
  <c r="E35" i="7"/>
  <c r="E33" i="7"/>
  <c r="M67" i="4"/>
  <c r="E27" i="5" s="1"/>
  <c r="K70" i="4"/>
  <c r="M16" i="5" s="1"/>
  <c r="E12" i="7"/>
  <c r="E23" i="7" s="1"/>
  <c r="E26" i="7"/>
  <c r="E27" i="7" s="1"/>
  <c r="M69" i="4"/>
  <c r="C74" i="4"/>
  <c r="I57" i="4"/>
  <c r="E36" i="4"/>
  <c r="G56" i="4"/>
  <c r="M21" i="4"/>
  <c r="E28" i="5" l="1"/>
  <c r="E29" i="5" s="1"/>
  <c r="K23" i="5"/>
  <c r="K24" i="5" s="1"/>
  <c r="C7" i="6" s="1"/>
  <c r="M10" i="5"/>
  <c r="M9" i="5"/>
  <c r="I31" i="7"/>
  <c r="C6" i="6"/>
  <c r="C27" i="10"/>
  <c r="C28" i="10" s="1"/>
  <c r="C29" i="10" s="1"/>
  <c r="C18" i="10"/>
  <c r="C19" i="10" s="1"/>
  <c r="M17" i="5"/>
  <c r="I5" i="6"/>
  <c r="E74" i="4"/>
  <c r="C75" i="4"/>
  <c r="M70" i="4"/>
  <c r="E35" i="5" s="1"/>
  <c r="E36" i="5" s="1"/>
  <c r="C73" i="4"/>
  <c r="G57" i="4"/>
  <c r="E32" i="4"/>
  <c r="I58" i="4"/>
  <c r="G36" i="4"/>
  <c r="M19" i="5" l="1"/>
  <c r="M22" i="5" s="1"/>
  <c r="M23" i="5" s="1"/>
  <c r="M24" i="5" s="1"/>
  <c r="C8" i="6" s="1"/>
  <c r="M39" i="5"/>
  <c r="K40" i="5"/>
  <c r="I40" i="5"/>
  <c r="E39" i="5"/>
  <c r="I39" i="5"/>
  <c r="M40" i="5"/>
  <c r="K39" i="5"/>
  <c r="G27" i="5"/>
  <c r="G28" i="5" s="1"/>
  <c r="G29" i="5" s="1"/>
  <c r="E40" i="5"/>
  <c r="G6" i="6"/>
  <c r="I6" i="6" s="1"/>
  <c r="C5" i="10"/>
  <c r="G26" i="7"/>
  <c r="G27" i="7" s="1"/>
  <c r="G35" i="7" s="1"/>
  <c r="K31" i="7"/>
  <c r="I33" i="7"/>
  <c r="E38" i="5"/>
  <c r="E41" i="5" s="1"/>
  <c r="G11" i="7"/>
  <c r="G12" i="7" s="1"/>
  <c r="G23" i="7" s="1"/>
  <c r="E73" i="4"/>
  <c r="I27" i="5" s="1"/>
  <c r="C76" i="4"/>
  <c r="G35" i="5" s="1"/>
  <c r="G36" i="5" s="1"/>
  <c r="E75" i="4"/>
  <c r="G74" i="4"/>
  <c r="I59" i="4"/>
  <c r="I36" i="4"/>
  <c r="G58" i="4"/>
  <c r="G32" i="4"/>
  <c r="G38" i="5" l="1"/>
  <c r="G41" i="5" s="1"/>
  <c r="G42" i="5" s="1"/>
  <c r="G43" i="5" s="1"/>
  <c r="C10" i="6" s="1"/>
  <c r="I28" i="5"/>
  <c r="I29" i="5" s="1"/>
  <c r="C6" i="10"/>
  <c r="G7" i="6"/>
  <c r="I7" i="6" s="1"/>
  <c r="I26" i="7"/>
  <c r="I27" i="7" s="1"/>
  <c r="I35" i="7" s="1"/>
  <c r="I11" i="7"/>
  <c r="I12" i="7" s="1"/>
  <c r="I23" i="7" s="1"/>
  <c r="E42" i="5"/>
  <c r="E43" i="5" s="1"/>
  <c r="C9" i="6" s="1"/>
  <c r="M31" i="7"/>
  <c r="K33" i="7"/>
  <c r="E27" i="10"/>
  <c r="E28" i="10" s="1"/>
  <c r="E29" i="10" s="1"/>
  <c r="E18" i="10"/>
  <c r="I74" i="4"/>
  <c r="I75" i="4" s="1"/>
  <c r="G75" i="4"/>
  <c r="E76" i="4"/>
  <c r="I35" i="5" s="1"/>
  <c r="I36" i="5" s="1"/>
  <c r="G73" i="4"/>
  <c r="K27" i="5" s="1"/>
  <c r="G59" i="4"/>
  <c r="I32" i="4"/>
  <c r="I60" i="4"/>
  <c r="K36" i="4"/>
  <c r="I38" i="5" l="1"/>
  <c r="I41" i="5" s="1"/>
  <c r="I42" i="5" s="1"/>
  <c r="I43" i="5" s="1"/>
  <c r="C11" i="6" s="1"/>
  <c r="M33" i="7"/>
  <c r="O31" i="7"/>
  <c r="G27" i="10"/>
  <c r="G28" i="10" s="1"/>
  <c r="G29" i="10" s="1"/>
  <c r="G18" i="10"/>
  <c r="K28" i="5"/>
  <c r="K29" i="5" s="1"/>
  <c r="A22" i="10"/>
  <c r="C22" i="10" s="1"/>
  <c r="E22" i="10" s="1"/>
  <c r="E19" i="10"/>
  <c r="G19" i="10" s="1"/>
  <c r="C7" i="10"/>
  <c r="G8" i="6"/>
  <c r="I8" i="6" s="1"/>
  <c r="K26" i="7"/>
  <c r="K27" i="7" s="1"/>
  <c r="K35" i="7" s="1"/>
  <c r="K11" i="7"/>
  <c r="I73" i="4"/>
  <c r="G76" i="4"/>
  <c r="K35" i="5" s="1"/>
  <c r="K36" i="5" s="1"/>
  <c r="I61" i="4"/>
  <c r="M36" i="4"/>
  <c r="I62" i="4" s="1"/>
  <c r="G60" i="4"/>
  <c r="K32" i="4"/>
  <c r="K38" i="5" l="1"/>
  <c r="K41" i="5" s="1"/>
  <c r="K42" i="5" s="1"/>
  <c r="K43" i="5" s="1"/>
  <c r="C12" i="6" s="1"/>
  <c r="I76" i="4"/>
  <c r="M35" i="5" s="1"/>
  <c r="M36" i="5" s="1"/>
  <c r="M27" i="5"/>
  <c r="M11" i="7"/>
  <c r="K12" i="7"/>
  <c r="K23" i="7" s="1"/>
  <c r="C8" i="10"/>
  <c r="M26" i="7"/>
  <c r="M27" i="7" s="1"/>
  <c r="M35" i="7" s="1"/>
  <c r="G9" i="6"/>
  <c r="I9" i="6" s="1"/>
  <c r="O26" i="7" s="1"/>
  <c r="Q31" i="7"/>
  <c r="O33" i="7"/>
  <c r="I27" i="10"/>
  <c r="I28" i="10" s="1"/>
  <c r="I29" i="10" s="1"/>
  <c r="I18" i="10"/>
  <c r="I19" i="10" s="1"/>
  <c r="G61" i="4"/>
  <c r="M32" i="4"/>
  <c r="G62" i="4" s="1"/>
  <c r="A32" i="10" l="1"/>
  <c r="C32" i="10" s="1"/>
  <c r="E32" i="10" s="1"/>
  <c r="M29" i="5"/>
  <c r="M38" i="5" s="1"/>
  <c r="M41" i="5" s="1"/>
  <c r="M28" i="5"/>
  <c r="Q33" i="7"/>
  <c r="S31" i="7"/>
  <c r="C9" i="10"/>
  <c r="G10" i="6"/>
  <c r="I10" i="6" s="1"/>
  <c r="Q26" i="7" s="1"/>
  <c r="O27" i="7"/>
  <c r="O35" i="7" s="1"/>
  <c r="K27" i="10"/>
  <c r="K28" i="10" s="1"/>
  <c r="K29" i="10" s="1"/>
  <c r="K18" i="10"/>
  <c r="K19" i="10" s="1"/>
  <c r="M12" i="7"/>
  <c r="M23" i="7" s="1"/>
  <c r="O11" i="7"/>
  <c r="M19" i="10" l="1"/>
  <c r="C10" i="10"/>
  <c r="Q27" i="7"/>
  <c r="Q35" i="7" s="1"/>
  <c r="G11" i="6"/>
  <c r="I11" i="6" s="1"/>
  <c r="S26" i="7" s="1"/>
  <c r="U31" i="7"/>
  <c r="S33" i="7"/>
  <c r="M43" i="5"/>
  <c r="C13" i="6" s="1"/>
  <c r="M42" i="5"/>
  <c r="Q11" i="7"/>
  <c r="O12" i="7"/>
  <c r="O23" i="7" s="1"/>
  <c r="M27" i="10"/>
  <c r="M28" i="10" s="1"/>
  <c r="M29" i="10" s="1"/>
  <c r="M18" i="10"/>
  <c r="S11" i="7" l="1"/>
  <c r="Q12" i="7"/>
  <c r="Q23" i="7" s="1"/>
  <c r="W31" i="7"/>
  <c r="W33" i="7" s="1"/>
  <c r="U33" i="7"/>
  <c r="S27" i="7"/>
  <c r="S35" i="7" s="1"/>
  <c r="C11" i="10"/>
  <c r="G12" i="6"/>
  <c r="I12" i="6" s="1"/>
  <c r="U26" i="7" s="1"/>
  <c r="O27" i="10"/>
  <c r="O28" i="10" s="1"/>
  <c r="O29" i="10" s="1"/>
  <c r="O18" i="10"/>
  <c r="O19" i="10" s="1"/>
  <c r="Q27" i="10" l="1"/>
  <c r="Q28" i="10" s="1"/>
  <c r="Q29" i="10" s="1"/>
  <c r="Q18" i="10"/>
  <c r="Q19" i="10" s="1"/>
  <c r="U11" i="7"/>
  <c r="S12" i="7"/>
  <c r="S23" i="7" s="1"/>
  <c r="C12" i="10"/>
  <c r="U27" i="7"/>
  <c r="U35" i="7" s="1"/>
  <c r="G13" i="6"/>
  <c r="I13" i="6" s="1"/>
  <c r="C13" i="10" l="1"/>
  <c r="W26" i="7"/>
  <c r="W27" i="7" s="1"/>
  <c r="W35" i="7" s="1"/>
  <c r="U27" i="10"/>
  <c r="U28" i="10" s="1"/>
  <c r="U18" i="10"/>
  <c r="S27" i="10"/>
  <c r="S28" i="10" s="1"/>
  <c r="S29" i="10" s="1"/>
  <c r="U29" i="10" s="1"/>
  <c r="C46" i="10" s="1"/>
  <c r="C47" i="10" s="1"/>
  <c r="S18" i="10"/>
  <c r="S19" i="10" s="1"/>
  <c r="U19" i="10" s="1"/>
  <c r="W11" i="7"/>
  <c r="W12" i="7" s="1"/>
  <c r="W23" i="7" s="1"/>
  <c r="U12" i="7"/>
  <c r="U23" i="7" s="1"/>
  <c r="C41" i="10" l="1"/>
  <c r="F41" i="10" s="1"/>
  <c r="C36" i="10"/>
  <c r="F36" i="10" s="1"/>
</calcChain>
</file>

<file path=xl/sharedStrings.xml><?xml version="1.0" encoding="utf-8"?>
<sst xmlns="http://schemas.openxmlformats.org/spreadsheetml/2006/main" count="269" uniqueCount="159">
  <si>
    <t xml:space="preserve"> Instituo Politécnico Nacional.</t>
  </si>
  <si>
    <t>Escuela Superior de Cómputo.</t>
  </si>
  <si>
    <t>Materia: Administración Financiera.</t>
  </si>
  <si>
    <t>Docente: Eduardo Rodríguez Flores.</t>
  </si>
  <si>
    <t>Alumno: Mario Alberto Miranda Sandoval.</t>
  </si>
  <si>
    <t>Grupo: 2CM10</t>
  </si>
  <si>
    <t>Tema: Proyecto De Inversión.</t>
  </si>
  <si>
    <t>Datos</t>
  </si>
  <si>
    <t>Datos.</t>
  </si>
  <si>
    <t>Unidades</t>
  </si>
  <si>
    <t>Precio</t>
  </si>
  <si>
    <t>Terreno</t>
  </si>
  <si>
    <t>Infraestructura</t>
  </si>
  <si>
    <t>Maquinaria</t>
  </si>
  <si>
    <t>Infra. Vida</t>
  </si>
  <si>
    <t>Maqui. Vida</t>
  </si>
  <si>
    <t>Impuestos Sobre La Renta</t>
  </si>
  <si>
    <t>Límite Inferior</t>
  </si>
  <si>
    <t>Límite Superior</t>
  </si>
  <si>
    <t>Tasa De Impuestos</t>
  </si>
  <si>
    <t>Costo para el proyecto de ampliación de la planta.</t>
  </si>
  <si>
    <t>Rubro</t>
  </si>
  <si>
    <t>Valor Inicial</t>
  </si>
  <si>
    <t>Valor 2do año</t>
  </si>
  <si>
    <t>Valor 3er año</t>
  </si>
  <si>
    <t>Valor 4to año</t>
  </si>
  <si>
    <t>Valor 5to año</t>
  </si>
  <si>
    <t>Costo de materia prima A/unidad</t>
  </si>
  <si>
    <t>Costo de materia prima B/unidad</t>
  </si>
  <si>
    <t>Costo de materiales/unidad</t>
  </si>
  <si>
    <t>Costo de mano de obra/unidad</t>
  </si>
  <si>
    <t>Costo de mantenimiento/año</t>
  </si>
  <si>
    <t>Gastos administrativos/unidad</t>
  </si>
  <si>
    <t>Gastos de venta</t>
  </si>
  <si>
    <t>Valor de recuperación del equipo</t>
  </si>
  <si>
    <t>Capital De Trabajo requerido</t>
  </si>
  <si>
    <t>Valor 6to año</t>
  </si>
  <si>
    <t>Valor 7mo año</t>
  </si>
  <si>
    <t>Valor 8vo año</t>
  </si>
  <si>
    <t>Valor 9no año</t>
  </si>
  <si>
    <t>Valor 10mo año</t>
  </si>
  <si>
    <t>Incremento Anual Esperado, Según inflación</t>
  </si>
  <si>
    <t>Aumento unidades y Precio</t>
  </si>
  <si>
    <t>Año</t>
  </si>
  <si>
    <t>Costo Variable</t>
  </si>
  <si>
    <t>Costo Fijo</t>
  </si>
  <si>
    <t>Crecimiento Anual</t>
  </si>
  <si>
    <t>Límite de unidades</t>
  </si>
  <si>
    <t>Depreciacion</t>
  </si>
  <si>
    <t>Subcontratación</t>
  </si>
  <si>
    <t>Valor De Rescate</t>
  </si>
  <si>
    <t>Aumentos</t>
  </si>
  <si>
    <t>Precio Sin IVA</t>
  </si>
  <si>
    <t>Costos Extra</t>
  </si>
  <si>
    <t>Fundamentación</t>
  </si>
  <si>
    <t>Evaluar proyectos de inversión implica estimar la rentabilidad y el promedio de tiempo de recuperación de proyectos para, a partir de dichos resultados, elegir los más adecuados para la empresa. Contar con modelos que permitan evaluar los proyectos permite facilitar la toma de decisiones al calcular el valor presente neto y la tasa interna de retorno, entre otros importantes índices.</t>
  </si>
  <si>
    <t>Métodos de Evaluación de Proyectos</t>
  </si>
  <si>
    <t>Periodo de Recuperación de la inversión.</t>
  </si>
  <si>
    <t>Periodo de Recuperación de la inversión descontado.</t>
  </si>
  <si>
    <t>Rendimiento Anual Promedio (RAP) o Tasa Contable de Rendimiento (TCR)</t>
  </si>
  <si>
    <t>Métodos que usan el valor del dinero en el tiempo</t>
  </si>
  <si>
    <t>Valor Presente Neto (VPN).</t>
  </si>
  <si>
    <t>Tasa Interna De Retorno (TIR).</t>
  </si>
  <si>
    <t>Índice de Rentabilidad (IR).</t>
  </si>
  <si>
    <t>Objetivo.</t>
  </si>
  <si>
    <t>Estado de Resultados.</t>
  </si>
  <si>
    <t>Estado de resultados</t>
  </si>
  <si>
    <t>Calzado Gaby</t>
  </si>
  <si>
    <t>M.N. /00</t>
  </si>
  <si>
    <t>1er año</t>
  </si>
  <si>
    <t>2do año</t>
  </si>
  <si>
    <t>3er año</t>
  </si>
  <si>
    <t>4to año</t>
  </si>
  <si>
    <t>5to año</t>
  </si>
  <si>
    <t>Ventas</t>
  </si>
  <si>
    <t>-</t>
  </si>
  <si>
    <t>Ventas Netas</t>
  </si>
  <si>
    <t>=</t>
  </si>
  <si>
    <t>Depreciación</t>
  </si>
  <si>
    <t>Utilidad Bruta</t>
  </si>
  <si>
    <t>Gastos de Venta</t>
  </si>
  <si>
    <t>Costo Materia Prima A</t>
  </si>
  <si>
    <t>Costo Materia Prima B</t>
  </si>
  <si>
    <t>Costo de Materiales</t>
  </si>
  <si>
    <t>Costo Mano Obra</t>
  </si>
  <si>
    <t>Costo de Mantenimiento</t>
  </si>
  <si>
    <t>Costo De Producción Extra</t>
  </si>
  <si>
    <t>Total de Costos</t>
  </si>
  <si>
    <t xml:space="preserve">Depreciacion </t>
  </si>
  <si>
    <t xml:space="preserve">Gastos de Administración </t>
  </si>
  <si>
    <t>Utilidad Antes De Impuestos</t>
  </si>
  <si>
    <t xml:space="preserve">Impuestos </t>
  </si>
  <si>
    <t>Utilidad Del Ejercicio</t>
  </si>
  <si>
    <t>Flujo Neto de Efectivo</t>
  </si>
  <si>
    <t>Utilidad</t>
  </si>
  <si>
    <t>Prestamo</t>
  </si>
  <si>
    <t>FNE</t>
  </si>
  <si>
    <t>Balance General.</t>
  </si>
  <si>
    <t>Balance General</t>
  </si>
  <si>
    <t>Activos</t>
  </si>
  <si>
    <t>Activos Circulantes</t>
  </si>
  <si>
    <t>Caja y Bancos</t>
  </si>
  <si>
    <t>Total Activos Circulantes</t>
  </si>
  <si>
    <t>Activos No Circulantes</t>
  </si>
  <si>
    <t>Activos Fijos</t>
  </si>
  <si>
    <t>Maquinaria y Equipo</t>
  </si>
  <si>
    <t>Total de Activos No Circulantes.</t>
  </si>
  <si>
    <t>Total de Activos</t>
  </si>
  <si>
    <t>Pasivos</t>
  </si>
  <si>
    <t>Total Pasivos</t>
  </si>
  <si>
    <t>Capital Contable</t>
  </si>
  <si>
    <t>Capital Social</t>
  </si>
  <si>
    <t>Utilidad del Ejercicio</t>
  </si>
  <si>
    <t>Total Pasivos + Capital</t>
  </si>
  <si>
    <t>Balance General Inicial.</t>
  </si>
  <si>
    <t>Saldo Inicial</t>
  </si>
  <si>
    <t>Total de Activos Circulantes</t>
  </si>
  <si>
    <t>Total Activos No Circulantes</t>
  </si>
  <si>
    <t>Total Activos</t>
  </si>
  <si>
    <t>Total Capital</t>
  </si>
  <si>
    <t>Total Capital+Pasivos</t>
  </si>
  <si>
    <t>IVA</t>
  </si>
  <si>
    <t>Total Capital Contable</t>
  </si>
  <si>
    <t>6to año</t>
  </si>
  <si>
    <t>7mo año</t>
  </si>
  <si>
    <t>8vo año</t>
  </si>
  <si>
    <t>9no año</t>
  </si>
  <si>
    <t>10mo año</t>
  </si>
  <si>
    <t>Del 2017 Al 2026</t>
  </si>
  <si>
    <t>Métodos de Evaluación</t>
  </si>
  <si>
    <t>Tasa mínima de acpetación</t>
  </si>
  <si>
    <t>Tiempo de vida</t>
  </si>
  <si>
    <t>años</t>
  </si>
  <si>
    <t>Suma FNE</t>
  </si>
  <si>
    <t>Inversion Inicial</t>
  </si>
  <si>
    <t>Años</t>
  </si>
  <si>
    <t>Meses</t>
  </si>
  <si>
    <t>Días</t>
  </si>
  <si>
    <t>1.- Método de periodo de Recuperación de la inversion</t>
  </si>
  <si>
    <t>2.- Método de periodo de Recuperación de la inversion descontado</t>
  </si>
  <si>
    <t>VPN</t>
  </si>
  <si>
    <t>Suma VPN</t>
  </si>
  <si>
    <t>3.- RAP</t>
  </si>
  <si>
    <t>RAP=</t>
  </si>
  <si>
    <t>4.- IR</t>
  </si>
  <si>
    <t>IR=</t>
  </si>
  <si>
    <t>5.- VPN</t>
  </si>
  <si>
    <t>Punto de Equilibrio</t>
  </si>
  <si>
    <t>Punto Equilibrio Ingreso</t>
  </si>
  <si>
    <t>Punto Equilibrio Cantidad</t>
  </si>
  <si>
    <t>Gráficas</t>
  </si>
  <si>
    <t>Costos Variables</t>
  </si>
  <si>
    <t>Margen de Contribución</t>
  </si>
  <si>
    <t>Costos Fijos</t>
  </si>
  <si>
    <t>P</t>
  </si>
  <si>
    <t>en</t>
  </si>
  <si>
    <t>Cantidad</t>
  </si>
  <si>
    <t>Ingresos Totales</t>
  </si>
  <si>
    <t>Costos Totales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</si>
</sst>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quot;$&quot;* #,##0.00_-;_-&quot;$&quot;* &quot;-&quot;??_-;_-@_-"/>
  </numFmts>
  <fonts count="9" x14ac:knownFonts="1">
    <font>
      <sz val="11"/>
      <color theme="1"/>
      <name val="Calibri"/>
      <family val="2"/>
      <scheme val="minor"/>
    </font>
    <font>
      <sz val="11"/>
      <color theme="1"/>
      <name val="Calibri"/>
      <family val="2"/>
      <scheme val="minor"/>
    </font>
    <font>
      <b/>
      <sz val="12"/>
      <color theme="4" tint="-0.499984740745262"/>
      <name val="Courier New"/>
      <family val="3"/>
    </font>
    <font>
      <sz val="11"/>
      <color theme="1"/>
      <name val="Courier New"/>
      <family val="3"/>
    </font>
    <font>
      <b/>
      <sz val="14"/>
      <color theme="1"/>
      <name val="Courier New"/>
      <family val="3"/>
    </font>
    <font>
      <b/>
      <sz val="11"/>
      <color theme="1"/>
      <name val="Courier New"/>
      <family val="3"/>
    </font>
    <font>
      <b/>
      <sz val="10"/>
      <color theme="1"/>
      <name val="Courier New"/>
      <family val="3"/>
    </font>
    <font>
      <sz val="11"/>
      <color rgb="FF333333"/>
      <name val="Courier New"/>
      <family val="3"/>
    </font>
    <font>
      <b/>
      <sz val="12"/>
      <color theme="1"/>
      <name val="Courier New"/>
      <family val="3"/>
    </font>
  </fonts>
  <fills count="13">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5" tint="0.79998168889431442"/>
        <bgColor indexed="64"/>
      </patternFill>
    </fill>
  </fills>
  <borders count="1">
    <border>
      <left/>
      <right/>
      <top/>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82">
    <xf numFmtId="0" fontId="0" fillId="0" borderId="0" xfId="0"/>
    <xf numFmtId="0" fontId="0" fillId="2" borderId="0" xfId="0" applyFill="1"/>
    <xf numFmtId="0" fontId="3" fillId="2" borderId="0" xfId="0" applyFont="1" applyFill="1"/>
    <xf numFmtId="0" fontId="3" fillId="0" borderId="0" xfId="0" applyFont="1"/>
    <xf numFmtId="9" fontId="3" fillId="5" borderId="0" xfId="2" applyFont="1" applyFill="1" applyAlignment="1">
      <alignment horizontal="center"/>
    </xf>
    <xf numFmtId="9" fontId="3" fillId="4" borderId="0" xfId="2" applyFont="1" applyFill="1" applyAlignment="1">
      <alignment horizontal="center"/>
    </xf>
    <xf numFmtId="0" fontId="3" fillId="5" borderId="0" xfId="0" applyFont="1" applyFill="1" applyAlignment="1">
      <alignment horizontal="center"/>
    </xf>
    <xf numFmtId="0" fontId="3" fillId="4" borderId="0" xfId="0" applyFont="1" applyFill="1" applyAlignment="1">
      <alignment horizontal="center"/>
    </xf>
    <xf numFmtId="0" fontId="3" fillId="9" borderId="0" xfId="0" applyFont="1" applyFill="1"/>
    <xf numFmtId="0" fontId="3" fillId="9" borderId="0" xfId="0" quotePrefix="1" applyFont="1" applyFill="1"/>
    <xf numFmtId="0" fontId="5" fillId="3" borderId="0" xfId="0" applyFont="1" applyFill="1" applyAlignment="1"/>
    <xf numFmtId="0" fontId="3" fillId="3" borderId="0" xfId="0" quotePrefix="1" applyFont="1" applyFill="1"/>
    <xf numFmtId="0" fontId="3" fillId="4" borderId="0" xfId="0" applyFont="1" applyFill="1"/>
    <xf numFmtId="0" fontId="3" fillId="5" borderId="0" xfId="0" applyFont="1" applyFill="1"/>
    <xf numFmtId="0" fontId="2" fillId="2" borderId="0" xfId="0" applyFont="1" applyFill="1" applyAlignment="1">
      <alignment horizontal="center"/>
    </xf>
    <xf numFmtId="0" fontId="5" fillId="3" borderId="0" xfId="0" applyFont="1" applyFill="1" applyAlignment="1">
      <alignment horizontal="center"/>
    </xf>
    <xf numFmtId="0" fontId="4" fillId="3" borderId="0" xfId="0" applyFont="1" applyFill="1" applyAlignment="1">
      <alignment horizontal="center"/>
    </xf>
    <xf numFmtId="0" fontId="7" fillId="9" borderId="0" xfId="0" applyFont="1" applyFill="1" applyAlignment="1">
      <alignment horizontal="left" vertical="top" wrapText="1"/>
    </xf>
    <xf numFmtId="44" fontId="3" fillId="0" borderId="0" xfId="1" applyFont="1" applyAlignment="1">
      <alignment horizontal="center"/>
    </xf>
    <xf numFmtId="0" fontId="3" fillId="4" borderId="0" xfId="0" applyFont="1" applyFill="1" applyAlignment="1">
      <alignment horizontal="center"/>
    </xf>
    <xf numFmtId="44" fontId="3" fillId="4" borderId="0" xfId="1" applyFont="1" applyFill="1" applyAlignment="1">
      <alignment horizontal="center"/>
    </xf>
    <xf numFmtId="0" fontId="3" fillId="5" borderId="0" xfId="0" applyFont="1" applyFill="1" applyAlignment="1">
      <alignment horizontal="center"/>
    </xf>
    <xf numFmtId="44" fontId="3" fillId="5" borderId="0" xfId="1" applyFont="1" applyFill="1" applyAlignment="1">
      <alignment horizontal="center"/>
    </xf>
    <xf numFmtId="0" fontId="3" fillId="0" borderId="0" xfId="0" applyFont="1" applyAlignment="1">
      <alignment horizontal="center"/>
    </xf>
    <xf numFmtId="2" fontId="3" fillId="5" borderId="0" xfId="0" applyNumberFormat="1" applyFont="1" applyFill="1" applyAlignment="1">
      <alignment horizontal="center"/>
    </xf>
    <xf numFmtId="0" fontId="6" fillId="7" borderId="0" xfId="0" applyFont="1" applyFill="1" applyAlignment="1">
      <alignment horizontal="center"/>
    </xf>
    <xf numFmtId="0" fontId="5" fillId="7" borderId="0" xfId="0" applyFont="1" applyFill="1" applyAlignment="1">
      <alignment horizontal="center"/>
    </xf>
    <xf numFmtId="44" fontId="3" fillId="5" borderId="0" xfId="0" applyNumberFormat="1" applyFont="1" applyFill="1" applyAlignment="1">
      <alignment horizontal="center"/>
    </xf>
    <xf numFmtId="44" fontId="3" fillId="4" borderId="0" xfId="0" applyNumberFormat="1" applyFont="1" applyFill="1" applyAlignment="1">
      <alignment horizontal="center"/>
    </xf>
    <xf numFmtId="0" fontId="5" fillId="4" borderId="0" xfId="0" applyFont="1" applyFill="1" applyAlignment="1">
      <alignment horizontal="center"/>
    </xf>
    <xf numFmtId="2" fontId="3" fillId="4" borderId="0" xfId="0" applyNumberFormat="1" applyFont="1" applyFill="1" applyAlignment="1">
      <alignment horizontal="center"/>
    </xf>
    <xf numFmtId="0" fontId="3" fillId="5" borderId="0" xfId="0" applyFont="1" applyFill="1" applyAlignment="1">
      <alignment horizontal="left"/>
    </xf>
    <xf numFmtId="0" fontId="5" fillId="6" borderId="0" xfId="0" applyFont="1" applyFill="1" applyAlignment="1">
      <alignment horizontal="center"/>
    </xf>
    <xf numFmtId="0" fontId="3" fillId="4" borderId="0" xfId="0" applyFont="1" applyFill="1" applyAlignment="1">
      <alignment horizontal="left"/>
    </xf>
    <xf numFmtId="0" fontId="5" fillId="8" borderId="0" xfId="0" applyFont="1" applyFill="1" applyAlignment="1">
      <alignment horizontal="center"/>
    </xf>
    <xf numFmtId="9" fontId="3" fillId="4" borderId="0" xfId="2" applyFont="1" applyFill="1" applyAlignment="1">
      <alignment horizontal="center"/>
    </xf>
    <xf numFmtId="9" fontId="3" fillId="5" borderId="0" xfId="2" applyFont="1" applyFill="1" applyAlignment="1">
      <alignment horizontal="center"/>
    </xf>
    <xf numFmtId="0" fontId="3" fillId="5" borderId="0" xfId="1" applyNumberFormat="1" applyFont="1" applyFill="1" applyAlignment="1">
      <alignment horizontal="center"/>
    </xf>
    <xf numFmtId="0" fontId="3" fillId="4" borderId="0" xfId="1" applyNumberFormat="1" applyFont="1" applyFill="1" applyAlignment="1">
      <alignment horizontal="center"/>
    </xf>
    <xf numFmtId="10" fontId="3" fillId="4" borderId="0" xfId="1" applyNumberFormat="1" applyFont="1" applyFill="1" applyAlignment="1">
      <alignment horizontal="center"/>
    </xf>
    <xf numFmtId="44" fontId="5" fillId="4" borderId="0" xfId="0" applyNumberFormat="1" applyFont="1" applyFill="1" applyAlignment="1">
      <alignment horizontal="center"/>
    </xf>
    <xf numFmtId="0" fontId="6" fillId="5" borderId="0" xfId="0" applyFont="1" applyFill="1" applyAlignment="1">
      <alignment horizontal="center"/>
    </xf>
    <xf numFmtId="44" fontId="5" fillId="5" borderId="0" xfId="0" applyNumberFormat="1" applyFont="1" applyFill="1" applyAlignment="1">
      <alignment horizontal="center"/>
    </xf>
    <xf numFmtId="0" fontId="5" fillId="5" borderId="0" xfId="0" applyFont="1" applyFill="1" applyAlignment="1">
      <alignment horizontal="center"/>
    </xf>
    <xf numFmtId="0" fontId="6" fillId="4" borderId="0" xfId="0" applyFont="1" applyFill="1" applyAlignment="1">
      <alignment horizontal="center"/>
    </xf>
    <xf numFmtId="44" fontId="3" fillId="3" borderId="0" xfId="0" applyNumberFormat="1" applyFont="1" applyFill="1" applyAlignment="1">
      <alignment horizontal="center"/>
    </xf>
    <xf numFmtId="0" fontId="3" fillId="3" borderId="0" xfId="0" applyFont="1" applyFill="1" applyAlignment="1">
      <alignment horizontal="center"/>
    </xf>
    <xf numFmtId="44" fontId="3" fillId="9" borderId="0" xfId="0" applyNumberFormat="1" applyFont="1" applyFill="1" applyAlignment="1">
      <alignment horizontal="center"/>
    </xf>
    <xf numFmtId="0" fontId="3" fillId="9" borderId="0" xfId="0" applyFont="1" applyFill="1" applyAlignment="1">
      <alignment horizontal="center"/>
    </xf>
    <xf numFmtId="44" fontId="3" fillId="3" borderId="0" xfId="1" applyFont="1" applyFill="1" applyAlignment="1">
      <alignment horizontal="center"/>
    </xf>
    <xf numFmtId="44" fontId="3" fillId="0" borderId="0" xfId="0" applyNumberFormat="1" applyFont="1" applyAlignment="1">
      <alignment horizontal="center"/>
    </xf>
    <xf numFmtId="0" fontId="3" fillId="9" borderId="0" xfId="0" applyFont="1" applyFill="1" applyAlignment="1">
      <alignment horizontal="left"/>
    </xf>
    <xf numFmtId="0" fontId="3" fillId="3" borderId="0" xfId="0" applyFont="1" applyFill="1" applyAlignment="1">
      <alignment horizontal="left"/>
    </xf>
    <xf numFmtId="0" fontId="5" fillId="3" borderId="0" xfId="0" applyFont="1" applyFill="1" applyAlignment="1">
      <alignment horizontal="left"/>
    </xf>
    <xf numFmtId="44" fontId="5" fillId="3" borderId="0" xfId="0" applyNumberFormat="1" applyFont="1" applyFill="1" applyAlignment="1">
      <alignment horizontal="center"/>
    </xf>
    <xf numFmtId="0" fontId="5" fillId="9" borderId="0" xfId="0" applyFont="1" applyFill="1" applyAlignment="1">
      <alignment horizontal="left"/>
    </xf>
    <xf numFmtId="44" fontId="5" fillId="9" borderId="0" xfId="0" applyNumberFormat="1" applyFont="1" applyFill="1" applyAlignment="1">
      <alignment horizontal="center"/>
    </xf>
    <xf numFmtId="0" fontId="5" fillId="9" borderId="0" xfId="0" applyFont="1" applyFill="1" applyAlignment="1">
      <alignment horizontal="center"/>
    </xf>
    <xf numFmtId="0" fontId="6" fillId="9" borderId="0" xfId="0" applyFont="1" applyFill="1" applyAlignment="1">
      <alignment horizontal="left"/>
    </xf>
    <xf numFmtId="0" fontId="5" fillId="9" borderId="0" xfId="0" quotePrefix="1" applyFont="1" applyFill="1"/>
    <xf numFmtId="0" fontId="5" fillId="3" borderId="0" xfId="0" quotePrefix="1" applyFont="1" applyFill="1"/>
    <xf numFmtId="44" fontId="3" fillId="9" borderId="0" xfId="1" applyFont="1" applyFill="1" applyAlignment="1">
      <alignment horizontal="center"/>
    </xf>
    <xf numFmtId="44" fontId="5" fillId="9" borderId="0" xfId="1" applyFont="1" applyFill="1" applyAlignment="1">
      <alignment horizontal="center"/>
    </xf>
    <xf numFmtId="44" fontId="5" fillId="3" borderId="0" xfId="1" applyFont="1" applyFill="1" applyAlignment="1">
      <alignment horizontal="center"/>
    </xf>
    <xf numFmtId="0" fontId="5" fillId="10" borderId="0" xfId="0" applyFont="1" applyFill="1" applyAlignment="1">
      <alignment horizontal="center"/>
    </xf>
    <xf numFmtId="44" fontId="5" fillId="8" borderId="0" xfId="0" applyNumberFormat="1" applyFont="1" applyFill="1" applyAlignment="1">
      <alignment horizontal="center"/>
    </xf>
    <xf numFmtId="44" fontId="5" fillId="8" borderId="0" xfId="1" applyFont="1" applyFill="1" applyAlignment="1">
      <alignment horizontal="center"/>
    </xf>
    <xf numFmtId="44" fontId="5" fillId="4" borderId="0" xfId="1" applyFont="1" applyFill="1" applyAlignment="1">
      <alignment horizontal="center"/>
    </xf>
    <xf numFmtId="44" fontId="5" fillId="6" borderId="0" xfId="0" applyNumberFormat="1" applyFont="1" applyFill="1" applyAlignment="1">
      <alignment horizontal="center"/>
    </xf>
    <xf numFmtId="44" fontId="5" fillId="6" borderId="0" xfId="1" applyFont="1" applyFill="1" applyAlignment="1">
      <alignment horizontal="center"/>
    </xf>
    <xf numFmtId="0" fontId="5" fillId="11" borderId="0" xfId="0" applyFont="1" applyFill="1" applyAlignment="1">
      <alignment horizontal="center"/>
    </xf>
    <xf numFmtId="44" fontId="5" fillId="11" borderId="0" xfId="0" applyNumberFormat="1" applyFont="1" applyFill="1" applyAlignment="1">
      <alignment horizontal="center"/>
    </xf>
    <xf numFmtId="44" fontId="5" fillId="11" borderId="0" xfId="1" applyFont="1" applyFill="1" applyAlignment="1">
      <alignment horizontal="center"/>
    </xf>
    <xf numFmtId="9" fontId="3" fillId="4" borderId="0" xfId="0" applyNumberFormat="1" applyFont="1" applyFill="1"/>
    <xf numFmtId="0" fontId="3" fillId="12" borderId="0" xfId="0" applyFont="1" applyFill="1" applyAlignment="1">
      <alignment horizontal="center" vertical="center" wrapText="1"/>
    </xf>
    <xf numFmtId="44" fontId="3" fillId="12" borderId="0" xfId="0" applyNumberFormat="1" applyFont="1" applyFill="1" applyAlignment="1">
      <alignment horizontal="center"/>
    </xf>
    <xf numFmtId="0" fontId="3" fillId="12" borderId="0" xfId="0" applyFont="1" applyFill="1" applyAlignment="1">
      <alignment horizontal="center"/>
    </xf>
    <xf numFmtId="0" fontId="3" fillId="12" borderId="0" xfId="0" quotePrefix="1" applyFont="1" applyFill="1" applyAlignment="1">
      <alignment horizontal="center" vertical="center" wrapText="1"/>
    </xf>
    <xf numFmtId="2" fontId="3" fillId="12" borderId="0" xfId="0" applyNumberFormat="1" applyFont="1" applyFill="1" applyAlignment="1">
      <alignment horizontal="center" vertical="center" wrapText="1"/>
    </xf>
    <xf numFmtId="0" fontId="5" fillId="12" borderId="0" xfId="0" applyFont="1" applyFill="1" applyAlignment="1">
      <alignment horizontal="center"/>
    </xf>
    <xf numFmtId="0" fontId="8" fillId="3" borderId="0" xfId="0" applyFont="1" applyFill="1" applyAlignment="1">
      <alignment horizontal="center"/>
    </xf>
    <xf numFmtId="0" fontId="5" fillId="4" borderId="0" xfId="0" applyFont="1" applyFill="1" applyAlignment="1">
      <alignment horizontal="left"/>
    </xf>
  </cellXfs>
  <cellStyles count="3">
    <cellStyle name="Moneda" xfId="1" builtinId="4"/>
    <cellStyle name="Normal" xfId="0" builtinId="0"/>
    <cellStyle name="Porcentaje"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s-MX"/>
              <a:t>2017</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s-MX"/>
        </a:p>
      </c:txPr>
    </c:title>
    <c:autoTitleDeleted val="0"/>
    <c:plotArea>
      <c:layout/>
      <c:scatterChart>
        <c:scatterStyle val="lineMarker"/>
        <c:varyColors val="0"/>
        <c:ser>
          <c:idx val="1"/>
          <c:order val="0"/>
          <c:tx>
            <c:v>Costos totales</c:v>
          </c:tx>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'Punto Equilibrio'!$K$20:$R$20</c:f>
              <c:numCache>
                <c:formatCode>General</c:formatCode>
                <c:ptCount val="8"/>
                <c:pt idx="0">
                  <c:v>200</c:v>
                </c:pt>
                <c:pt idx="2">
                  <c:v>300</c:v>
                </c:pt>
                <c:pt idx="4">
                  <c:v>400</c:v>
                </c:pt>
                <c:pt idx="6">
                  <c:v>500</c:v>
                </c:pt>
              </c:numCache>
            </c:numRef>
          </c:xVal>
          <c:yVal>
            <c:numRef>
              <c:f>'Punto Equilibrio'!$K$21:$R$21</c:f>
              <c:numCache>
                <c:formatCode>General</c:formatCode>
                <c:ptCount val="8"/>
                <c:pt idx="0" formatCode="_(&quot;$&quot;* #,##0.00_);_(&quot;$&quot;* \(#,##0.00\);_(&quot;$&quot;* &quot;-&quot;??_);_(@_)">
                  <c:v>210300</c:v>
                </c:pt>
                <c:pt idx="2" formatCode="_(&quot;$&quot;* #,##0.00_);_(&quot;$&quot;* \(#,##0.00\);_(&quot;$&quot;* &quot;-&quot;??_);_(@_)">
                  <c:v>240300</c:v>
                </c:pt>
                <c:pt idx="4" formatCode="_(&quot;$&quot;* #,##0.00_);_(&quot;$&quot;* \(#,##0.00\);_(&quot;$&quot;* &quot;-&quot;??_);_(@_)">
                  <c:v>270300</c:v>
                </c:pt>
                <c:pt idx="6" formatCode="_(&quot;$&quot;* #,##0.00_);_(&quot;$&quot;* \(#,##0.00\);_(&quot;$&quot;* &quot;-&quot;??_);_(@_)">
                  <c:v>300300</c:v>
                </c:pt>
              </c:numCache>
            </c:numRef>
          </c:yVal>
          <c:smooth val="0"/>
          <c:extLst>
            <c:ext xmlns:c16="http://schemas.microsoft.com/office/drawing/2014/chart" uri="{C3380CC4-5D6E-409C-BE32-E72D297353CC}">
              <c16:uniqueId val="{00000000-0325-4436-8C8E-32DCDCEC0FE4}"/>
            </c:ext>
          </c:extLst>
        </c:ser>
        <c:ser>
          <c:idx val="2"/>
          <c:order val="1"/>
          <c:tx>
            <c:v>Ingresos totales</c:v>
          </c:tx>
          <c:spPr>
            <a:ln w="22225" cap="rnd">
              <a:solidFill>
                <a:schemeClr val="accent3"/>
              </a:solidFill>
            </a:ln>
            <a:effectLst>
              <a:glow rad="139700">
                <a:schemeClr val="accent3">
                  <a:satMod val="175000"/>
                  <a:alpha val="14000"/>
                </a:schemeClr>
              </a:glow>
            </a:effectLst>
          </c:spPr>
          <c:marker>
            <c:symbol val="circle"/>
            <c:size val="3"/>
            <c:spPr>
              <a:solidFill>
                <a:schemeClr val="accent3">
                  <a:lumMod val="60000"/>
                  <a:lumOff val="40000"/>
                </a:schemeClr>
              </a:solidFill>
              <a:ln>
                <a:noFill/>
              </a:ln>
              <a:effectLst>
                <a:glow rad="63500">
                  <a:schemeClr val="accent3">
                    <a:satMod val="175000"/>
                    <a:alpha val="25000"/>
                  </a:schemeClr>
                </a:glow>
              </a:effectLst>
            </c:spPr>
          </c:marker>
          <c:xVal>
            <c:numRef>
              <c:f>'Punto Equilibrio'!$C$20:$J$20</c:f>
              <c:numCache>
                <c:formatCode>General</c:formatCode>
                <c:ptCount val="8"/>
                <c:pt idx="0">
                  <c:v>200</c:v>
                </c:pt>
                <c:pt idx="2">
                  <c:v>300</c:v>
                </c:pt>
                <c:pt idx="4">
                  <c:v>400</c:v>
                </c:pt>
                <c:pt idx="6">
                  <c:v>500</c:v>
                </c:pt>
              </c:numCache>
            </c:numRef>
          </c:xVal>
          <c:yVal>
            <c:numRef>
              <c:f>'Punto Equilibrio'!$C$21:$J$21</c:f>
              <c:numCache>
                <c:formatCode>General</c:formatCode>
                <c:ptCount val="8"/>
                <c:pt idx="0" formatCode="_(&quot;$&quot;* #,##0.00_);_(&quot;$&quot;* \(#,##0.00\);_(&quot;$&quot;* &quot;-&quot;??_);_(@_)">
                  <c:v>109700</c:v>
                </c:pt>
                <c:pt idx="2" formatCode="_(&quot;$&quot;* #,##0.00_);_(&quot;$&quot;* \(#,##0.00\);_(&quot;$&quot;* &quot;-&quot;??_);_(@_)">
                  <c:v>239700</c:v>
                </c:pt>
                <c:pt idx="4" formatCode="_(&quot;$&quot;* #,##0.00_);_(&quot;$&quot;* \(#,##0.00\);_(&quot;$&quot;* &quot;-&quot;??_);_(@_)">
                  <c:v>369700</c:v>
                </c:pt>
                <c:pt idx="6" formatCode="_(&quot;$&quot;* #,##0.00_);_(&quot;$&quot;* \(#,##0.00\);_(&quot;$&quot;* &quot;-&quot;??_);_(@_)">
                  <c:v>499700</c:v>
                </c:pt>
              </c:numCache>
            </c:numRef>
          </c:yVal>
          <c:smooth val="0"/>
          <c:extLst>
            <c:ext xmlns:c16="http://schemas.microsoft.com/office/drawing/2014/chart" uri="{C3380CC4-5D6E-409C-BE32-E72D297353CC}">
              <c16:uniqueId val="{00000001-0325-4436-8C8E-32DCDCEC0FE4}"/>
            </c:ext>
          </c:extLst>
        </c:ser>
        <c:ser>
          <c:idx val="3"/>
          <c:order val="2"/>
          <c:tx>
            <c:v>Punto de equilibrio</c:v>
          </c:tx>
          <c:spPr>
            <a:ln w="22225" cap="rnd">
              <a:solidFill>
                <a:schemeClr val="accent4"/>
              </a:solidFill>
            </a:ln>
            <a:effectLst>
              <a:glow rad="139700">
                <a:schemeClr val="accent4">
                  <a:satMod val="175000"/>
                  <a:alpha val="14000"/>
                </a:schemeClr>
              </a:glow>
            </a:effectLst>
          </c:spPr>
          <c:marker>
            <c:symbol val="circle"/>
            <c:size val="3"/>
            <c:spPr>
              <a:solidFill>
                <a:schemeClr val="accent4">
                  <a:lumMod val="60000"/>
                  <a:lumOff val="40000"/>
                </a:schemeClr>
              </a:solidFill>
              <a:ln>
                <a:noFill/>
              </a:ln>
              <a:effectLst>
                <a:glow rad="63500">
                  <a:schemeClr val="accent4">
                    <a:satMod val="175000"/>
                    <a:alpha val="25000"/>
                  </a:schemeClr>
                </a:glow>
              </a:effectLst>
            </c:spPr>
          </c:marker>
          <c:xVal>
            <c:numRef>
              <c:f>'[1]Punto de equilibrio'!$F$5:$F$7</c:f>
              <c:numCache>
                <c:formatCode>General</c:formatCode>
                <c:ptCount val="3"/>
                <c:pt idx="0">
                  <c:v>300.60000000000002</c:v>
                </c:pt>
              </c:numCache>
            </c:numRef>
          </c:xVal>
          <c:yVal>
            <c:numRef>
              <c:f>'[1]Punto de equilibrio'!$F$8:$F$10</c:f>
              <c:numCache>
                <c:formatCode>General</c:formatCode>
                <c:ptCount val="3"/>
                <c:pt idx="0">
                  <c:v>240480</c:v>
                </c:pt>
              </c:numCache>
            </c:numRef>
          </c:yVal>
          <c:smooth val="0"/>
          <c:extLst>
            <c:ext xmlns:c16="http://schemas.microsoft.com/office/drawing/2014/chart" uri="{C3380CC4-5D6E-409C-BE32-E72D297353CC}">
              <c16:uniqueId val="{00000002-0325-4436-8C8E-32DCDCEC0FE4}"/>
            </c:ext>
          </c:extLst>
        </c:ser>
        <c:ser>
          <c:idx val="0"/>
          <c:order val="3"/>
          <c:tx>
            <c:v>Costos fijos</c:v>
          </c:tx>
          <c:spPr>
            <a:ln w="22225" cap="rnd">
              <a:solidFill>
                <a:schemeClr val="accent1"/>
              </a:solidFill>
            </a:ln>
            <a:effectLst>
              <a:glow rad="139700">
                <a:schemeClr val="accent1">
                  <a:satMod val="175000"/>
                  <a:alpha val="14000"/>
                </a:schemeClr>
              </a:glow>
            </a:effectLst>
          </c:spPr>
          <c:marker>
            <c:symbol val="circle"/>
            <c:size val="3"/>
            <c:spPr>
              <a:solidFill>
                <a:schemeClr val="accent1">
                  <a:lumMod val="60000"/>
                  <a:lumOff val="40000"/>
                </a:schemeClr>
              </a:solidFill>
              <a:ln>
                <a:noFill/>
              </a:ln>
              <a:effectLst>
                <a:glow rad="63500">
                  <a:schemeClr val="accent1">
                    <a:satMod val="175000"/>
                    <a:alpha val="25000"/>
                  </a:schemeClr>
                </a:glow>
              </a:effectLst>
            </c:spPr>
          </c:marker>
          <c:xVal>
            <c:numRef>
              <c:f>'Punto Equilibrio'!$S$20:$Z$20</c:f>
              <c:numCache>
                <c:formatCode>General</c:formatCode>
                <c:ptCount val="8"/>
                <c:pt idx="0">
                  <c:v>200</c:v>
                </c:pt>
                <c:pt idx="2">
                  <c:v>300</c:v>
                </c:pt>
                <c:pt idx="4">
                  <c:v>400</c:v>
                </c:pt>
                <c:pt idx="6">
                  <c:v>500</c:v>
                </c:pt>
              </c:numCache>
            </c:numRef>
          </c:xVal>
          <c:yVal>
            <c:numRef>
              <c:f>'Punto Equilibrio'!$S$21:$Z$21</c:f>
              <c:numCache>
                <c:formatCode>General</c:formatCode>
                <c:ptCount val="8"/>
                <c:pt idx="0" formatCode="_(&quot;$&quot;* #,##0.00_);_(&quot;$&quot;* \(#,##0.00\);_(&quot;$&quot;* &quot;-&quot;??_);_(@_)">
                  <c:v>150300</c:v>
                </c:pt>
                <c:pt idx="2" formatCode="_(&quot;$&quot;* #,##0.00_);_(&quot;$&quot;* \(#,##0.00\);_(&quot;$&quot;* &quot;-&quot;??_);_(@_)">
                  <c:v>150300</c:v>
                </c:pt>
                <c:pt idx="4" formatCode="_(&quot;$&quot;* #,##0.00_);_(&quot;$&quot;* \(#,##0.00\);_(&quot;$&quot;* &quot;-&quot;??_);_(@_)">
                  <c:v>150300</c:v>
                </c:pt>
                <c:pt idx="6" formatCode="_(&quot;$&quot;* #,##0.00_);_(&quot;$&quot;* \(#,##0.00\);_(&quot;$&quot;* &quot;-&quot;??_);_(@_)">
                  <c:v>150300</c:v>
                </c:pt>
              </c:numCache>
            </c:numRef>
          </c:yVal>
          <c:smooth val="0"/>
          <c:extLst>
            <c:ext xmlns:c16="http://schemas.microsoft.com/office/drawing/2014/chart" uri="{C3380CC4-5D6E-409C-BE32-E72D297353CC}">
              <c16:uniqueId val="{00000003-0325-4436-8C8E-32DCDCEC0FE4}"/>
            </c:ext>
          </c:extLst>
        </c:ser>
        <c:dLbls>
          <c:showLegendKey val="0"/>
          <c:showVal val="0"/>
          <c:showCatName val="0"/>
          <c:showSerName val="0"/>
          <c:showPercent val="0"/>
          <c:showBubbleSize val="0"/>
        </c:dLbls>
        <c:axId val="1872713728"/>
        <c:axId val="1872726784"/>
      </c:scatterChart>
      <c:valAx>
        <c:axId val="1872713728"/>
        <c:scaling>
          <c:orientation val="minMax"/>
        </c:scaling>
        <c:delete val="0"/>
        <c:axPos val="b"/>
        <c:majorGridlines>
          <c:spPr>
            <a:ln w="9525" cap="flat" cmpd="sng" algn="ctr">
              <a:solidFill>
                <a:schemeClr val="dk1">
                  <a:lumMod val="65000"/>
                  <a:lumOff val="35000"/>
                  <a:alpha val="7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s-MX"/>
                  <a:t>Cantidad</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MX"/>
          </a:p>
        </c:txPr>
        <c:crossAx val="1872726784"/>
        <c:crosses val="autoZero"/>
        <c:crossBetween val="midCat"/>
      </c:valAx>
      <c:valAx>
        <c:axId val="1872726784"/>
        <c:scaling>
          <c:orientation val="minMax"/>
        </c:scaling>
        <c:delete val="0"/>
        <c:axPos val="l"/>
        <c:majorGridlines>
          <c:spPr>
            <a:ln w="9525" cap="flat" cmpd="sng" algn="ctr">
              <a:solidFill>
                <a:schemeClr val="dk1">
                  <a:lumMod val="65000"/>
                  <a:lumOff val="35000"/>
                  <a:alpha val="7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s-MX"/>
                  <a:t>Ingresos/Costos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s-MX"/>
            </a:p>
          </c:txPr>
        </c:title>
        <c:numFmt formatCode="_(&quot;$&quot;* #,##0.00_);_(&quot;$&quot;* \(#,##0.00\);_(&quot;$&quot;* &quot;-&quot;??_);_(@_)"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MX"/>
          </a:p>
        </c:txPr>
        <c:crossAx val="187271372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s-MX"/>
              <a:t>2018</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s-MX"/>
        </a:p>
      </c:txPr>
    </c:title>
    <c:autoTitleDeleted val="0"/>
    <c:plotArea>
      <c:layout/>
      <c:scatterChart>
        <c:scatterStyle val="lineMarker"/>
        <c:varyColors val="0"/>
        <c:ser>
          <c:idx val="1"/>
          <c:order val="0"/>
          <c:tx>
            <c:v>Costos totales</c:v>
          </c:tx>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'Punto Equilibrio'!$K$20:$R$20</c:f>
              <c:numCache>
                <c:formatCode>General</c:formatCode>
                <c:ptCount val="8"/>
                <c:pt idx="0">
                  <c:v>200</c:v>
                </c:pt>
                <c:pt idx="2">
                  <c:v>300</c:v>
                </c:pt>
                <c:pt idx="4">
                  <c:v>400</c:v>
                </c:pt>
                <c:pt idx="6">
                  <c:v>500</c:v>
                </c:pt>
              </c:numCache>
            </c:numRef>
          </c:xVal>
          <c:yVal>
            <c:numRef>
              <c:f>'Punto Equilibrio'!$K$22:$R$22</c:f>
              <c:numCache>
                <c:formatCode>General</c:formatCode>
                <c:ptCount val="8"/>
                <c:pt idx="0" formatCode="_(&quot;$&quot;* #,##0.00_);_(&quot;$&quot;* \(#,##0.00\);_(&quot;$&quot;* &quot;-&quot;??_);_(@_)">
                  <c:v>227115</c:v>
                </c:pt>
                <c:pt idx="2" formatCode="_(&quot;$&quot;* #,##0.00_);_(&quot;$&quot;* \(#,##0.00\);_(&quot;$&quot;* &quot;-&quot;??_);_(@_)">
                  <c:v>259515</c:v>
                </c:pt>
                <c:pt idx="4" formatCode="_(&quot;$&quot;* #,##0.00_);_(&quot;$&quot;* \(#,##0.00\);_(&quot;$&quot;* &quot;-&quot;??_);_(@_)">
                  <c:v>291915</c:v>
                </c:pt>
                <c:pt idx="6" formatCode="_(&quot;$&quot;* #,##0.00_);_(&quot;$&quot;* \(#,##0.00\);_(&quot;$&quot;* &quot;-&quot;??_);_(@_)">
                  <c:v>324315</c:v>
                </c:pt>
              </c:numCache>
            </c:numRef>
          </c:yVal>
          <c:smooth val="0"/>
          <c:extLst>
            <c:ext xmlns:c16="http://schemas.microsoft.com/office/drawing/2014/chart" uri="{C3380CC4-5D6E-409C-BE32-E72D297353CC}">
              <c16:uniqueId val="{00000000-B1E8-4C70-A46A-A93173946128}"/>
            </c:ext>
          </c:extLst>
        </c:ser>
        <c:ser>
          <c:idx val="2"/>
          <c:order val="1"/>
          <c:tx>
            <c:v>Ingresos totales</c:v>
          </c:tx>
          <c:spPr>
            <a:ln w="22225" cap="rnd">
              <a:solidFill>
                <a:schemeClr val="accent3"/>
              </a:solidFill>
            </a:ln>
            <a:effectLst>
              <a:glow rad="139700">
                <a:schemeClr val="accent3">
                  <a:satMod val="175000"/>
                  <a:alpha val="14000"/>
                </a:schemeClr>
              </a:glow>
            </a:effectLst>
          </c:spPr>
          <c:marker>
            <c:symbol val="circle"/>
            <c:size val="3"/>
            <c:spPr>
              <a:solidFill>
                <a:schemeClr val="accent3">
                  <a:lumMod val="60000"/>
                  <a:lumOff val="40000"/>
                </a:schemeClr>
              </a:solidFill>
              <a:ln>
                <a:noFill/>
              </a:ln>
              <a:effectLst>
                <a:glow rad="63500">
                  <a:schemeClr val="accent3">
                    <a:satMod val="175000"/>
                    <a:alpha val="25000"/>
                  </a:schemeClr>
                </a:glow>
              </a:effectLst>
            </c:spPr>
          </c:marker>
          <c:xVal>
            <c:numRef>
              <c:f>'Punto Equilibrio'!$C$20:$J$20</c:f>
              <c:numCache>
                <c:formatCode>General</c:formatCode>
                <c:ptCount val="8"/>
                <c:pt idx="0">
                  <c:v>200</c:v>
                </c:pt>
                <c:pt idx="2">
                  <c:v>300</c:v>
                </c:pt>
                <c:pt idx="4">
                  <c:v>400</c:v>
                </c:pt>
                <c:pt idx="6">
                  <c:v>500</c:v>
                </c:pt>
              </c:numCache>
            </c:numRef>
          </c:xVal>
          <c:yVal>
            <c:numRef>
              <c:f>'Punto Equilibrio'!$C$22:$J$22</c:f>
              <c:numCache>
                <c:formatCode>General</c:formatCode>
                <c:ptCount val="8"/>
                <c:pt idx="0" formatCode="_(&quot;$&quot;* #,##0.00_);_(&quot;$&quot;* \(#,##0.00\);_(&quot;$&quot;* &quot;-&quot;??_);_(@_)">
                  <c:v>108885</c:v>
                </c:pt>
                <c:pt idx="2" formatCode="_(&quot;$&quot;* #,##0.00_);_(&quot;$&quot;* \(#,##0.00\);_(&quot;$&quot;* &quot;-&quot;??_);_(@_)">
                  <c:v>244485</c:v>
                </c:pt>
                <c:pt idx="4" formatCode="_(&quot;$&quot;* #,##0.00_);_(&quot;$&quot;* \(#,##0.00\);_(&quot;$&quot;* &quot;-&quot;??_);_(@_)">
                  <c:v>380085</c:v>
                </c:pt>
                <c:pt idx="6" formatCode="_(&quot;$&quot;* #,##0.00_);_(&quot;$&quot;* \(#,##0.00\);_(&quot;$&quot;* &quot;-&quot;??_);_(@_)">
                  <c:v>515685</c:v>
                </c:pt>
              </c:numCache>
            </c:numRef>
          </c:yVal>
          <c:smooth val="0"/>
          <c:extLst>
            <c:ext xmlns:c16="http://schemas.microsoft.com/office/drawing/2014/chart" uri="{C3380CC4-5D6E-409C-BE32-E72D297353CC}">
              <c16:uniqueId val="{00000001-B1E8-4C70-A46A-A93173946128}"/>
            </c:ext>
          </c:extLst>
        </c:ser>
        <c:ser>
          <c:idx val="3"/>
          <c:order val="2"/>
          <c:tx>
            <c:v>Punto de equilibrio</c:v>
          </c:tx>
          <c:spPr>
            <a:ln w="22225" cap="rnd">
              <a:solidFill>
                <a:schemeClr val="accent4"/>
              </a:solidFill>
            </a:ln>
            <a:effectLst>
              <a:glow rad="139700">
                <a:schemeClr val="accent4">
                  <a:satMod val="175000"/>
                  <a:alpha val="14000"/>
                </a:schemeClr>
              </a:glow>
            </a:effectLst>
          </c:spPr>
          <c:marker>
            <c:symbol val="circle"/>
            <c:size val="3"/>
            <c:spPr>
              <a:solidFill>
                <a:schemeClr val="accent4">
                  <a:lumMod val="60000"/>
                  <a:lumOff val="40000"/>
                </a:schemeClr>
              </a:solidFill>
              <a:ln>
                <a:noFill/>
              </a:ln>
              <a:effectLst>
                <a:glow rad="63500">
                  <a:schemeClr val="accent4">
                    <a:satMod val="175000"/>
                    <a:alpha val="25000"/>
                  </a:schemeClr>
                </a:glow>
              </a:effectLst>
            </c:spPr>
          </c:marker>
          <c:xVal>
            <c:numRef>
              <c:f>'[1]Punto de equilibrio'!$F$5:$F$7</c:f>
              <c:numCache>
                <c:formatCode>General</c:formatCode>
                <c:ptCount val="3"/>
                <c:pt idx="0">
                  <c:v>300.60000000000002</c:v>
                </c:pt>
              </c:numCache>
            </c:numRef>
          </c:xVal>
          <c:yVal>
            <c:numRef>
              <c:f>'[1]Punto de equilibrio'!$F$8:$F$10</c:f>
              <c:numCache>
                <c:formatCode>General</c:formatCode>
                <c:ptCount val="3"/>
                <c:pt idx="0">
                  <c:v>240480</c:v>
                </c:pt>
              </c:numCache>
            </c:numRef>
          </c:yVal>
          <c:smooth val="0"/>
          <c:extLst>
            <c:ext xmlns:c16="http://schemas.microsoft.com/office/drawing/2014/chart" uri="{C3380CC4-5D6E-409C-BE32-E72D297353CC}">
              <c16:uniqueId val="{00000002-B1E8-4C70-A46A-A93173946128}"/>
            </c:ext>
          </c:extLst>
        </c:ser>
        <c:ser>
          <c:idx val="0"/>
          <c:order val="3"/>
          <c:tx>
            <c:v>Costos fijos</c:v>
          </c:tx>
          <c:spPr>
            <a:ln w="22225" cap="rnd">
              <a:solidFill>
                <a:schemeClr val="accent1"/>
              </a:solidFill>
            </a:ln>
            <a:effectLst>
              <a:glow rad="139700">
                <a:schemeClr val="accent1">
                  <a:satMod val="175000"/>
                  <a:alpha val="14000"/>
                </a:schemeClr>
              </a:glow>
            </a:effectLst>
          </c:spPr>
          <c:marker>
            <c:symbol val="circle"/>
            <c:size val="3"/>
            <c:spPr>
              <a:solidFill>
                <a:schemeClr val="accent1">
                  <a:lumMod val="60000"/>
                  <a:lumOff val="40000"/>
                </a:schemeClr>
              </a:solidFill>
              <a:ln>
                <a:noFill/>
              </a:ln>
              <a:effectLst>
                <a:glow rad="63500">
                  <a:schemeClr val="accent1">
                    <a:satMod val="175000"/>
                    <a:alpha val="25000"/>
                  </a:schemeClr>
                </a:glow>
              </a:effectLst>
            </c:spPr>
          </c:marker>
          <c:xVal>
            <c:numRef>
              <c:f>'Punto Equilibrio'!$S$20:$Z$20</c:f>
              <c:numCache>
                <c:formatCode>General</c:formatCode>
                <c:ptCount val="8"/>
                <c:pt idx="0">
                  <c:v>200</c:v>
                </c:pt>
                <c:pt idx="2">
                  <c:v>300</c:v>
                </c:pt>
                <c:pt idx="4">
                  <c:v>400</c:v>
                </c:pt>
                <c:pt idx="6">
                  <c:v>500</c:v>
                </c:pt>
              </c:numCache>
            </c:numRef>
          </c:xVal>
          <c:yVal>
            <c:numRef>
              <c:f>'Punto Equilibrio'!$S$22:$Z$22</c:f>
              <c:numCache>
                <c:formatCode>General</c:formatCode>
                <c:ptCount val="8"/>
                <c:pt idx="0" formatCode="_(&quot;$&quot;* #,##0.00_);_(&quot;$&quot;* \(#,##0.00\);_(&quot;$&quot;* &quot;-&quot;??_);_(@_)">
                  <c:v>162315</c:v>
                </c:pt>
                <c:pt idx="2" formatCode="_(&quot;$&quot;* #,##0.00_);_(&quot;$&quot;* \(#,##0.00\);_(&quot;$&quot;* &quot;-&quot;??_);_(@_)">
                  <c:v>162315</c:v>
                </c:pt>
                <c:pt idx="4" formatCode="_(&quot;$&quot;* #,##0.00_);_(&quot;$&quot;* \(#,##0.00\);_(&quot;$&quot;* &quot;-&quot;??_);_(@_)">
                  <c:v>162315</c:v>
                </c:pt>
                <c:pt idx="6" formatCode="_(&quot;$&quot;* #,##0.00_);_(&quot;$&quot;* \(#,##0.00\);_(&quot;$&quot;* &quot;-&quot;??_);_(@_)">
                  <c:v>162315</c:v>
                </c:pt>
              </c:numCache>
            </c:numRef>
          </c:yVal>
          <c:smooth val="0"/>
          <c:extLst>
            <c:ext xmlns:c16="http://schemas.microsoft.com/office/drawing/2014/chart" uri="{C3380CC4-5D6E-409C-BE32-E72D297353CC}">
              <c16:uniqueId val="{00000003-B1E8-4C70-A46A-A93173946128}"/>
            </c:ext>
          </c:extLst>
        </c:ser>
        <c:dLbls>
          <c:showLegendKey val="0"/>
          <c:showVal val="0"/>
          <c:showCatName val="0"/>
          <c:showSerName val="0"/>
          <c:showPercent val="0"/>
          <c:showBubbleSize val="0"/>
        </c:dLbls>
        <c:axId val="1872713728"/>
        <c:axId val="1872726784"/>
      </c:scatterChart>
      <c:valAx>
        <c:axId val="1872713728"/>
        <c:scaling>
          <c:orientation val="minMax"/>
        </c:scaling>
        <c:delete val="0"/>
        <c:axPos val="b"/>
        <c:majorGridlines>
          <c:spPr>
            <a:ln w="9525" cap="flat" cmpd="sng" algn="ctr">
              <a:solidFill>
                <a:schemeClr val="dk1">
                  <a:lumMod val="65000"/>
                  <a:lumOff val="35000"/>
                  <a:alpha val="7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s-MX"/>
                  <a:t>Cantidad</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MX"/>
          </a:p>
        </c:txPr>
        <c:crossAx val="1872726784"/>
        <c:crosses val="autoZero"/>
        <c:crossBetween val="midCat"/>
      </c:valAx>
      <c:valAx>
        <c:axId val="1872726784"/>
        <c:scaling>
          <c:orientation val="minMax"/>
        </c:scaling>
        <c:delete val="0"/>
        <c:axPos val="l"/>
        <c:majorGridlines>
          <c:spPr>
            <a:ln w="9525" cap="flat" cmpd="sng" algn="ctr">
              <a:solidFill>
                <a:schemeClr val="dk1">
                  <a:lumMod val="65000"/>
                  <a:lumOff val="35000"/>
                  <a:alpha val="7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s-MX"/>
                  <a:t>Ingresos/Costos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s-MX"/>
            </a:p>
          </c:txPr>
        </c:title>
        <c:numFmt formatCode="_(&quot;$&quot;* #,##0.00_);_(&quot;$&quot;* \(#,##0.00\);_(&quot;$&quot;* &quot;-&quot;??_);_(@_)"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MX"/>
          </a:p>
        </c:txPr>
        <c:crossAx val="187271372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s-MX"/>
              <a:t>2019</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s-MX"/>
        </a:p>
      </c:txPr>
    </c:title>
    <c:autoTitleDeleted val="0"/>
    <c:plotArea>
      <c:layout/>
      <c:scatterChart>
        <c:scatterStyle val="lineMarker"/>
        <c:varyColors val="0"/>
        <c:ser>
          <c:idx val="1"/>
          <c:order val="0"/>
          <c:tx>
            <c:v>Costos totales</c:v>
          </c:tx>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'Punto Equilibrio'!$K$20:$R$20</c:f>
              <c:numCache>
                <c:formatCode>General</c:formatCode>
                <c:ptCount val="8"/>
                <c:pt idx="0">
                  <c:v>200</c:v>
                </c:pt>
                <c:pt idx="2">
                  <c:v>300</c:v>
                </c:pt>
                <c:pt idx="4">
                  <c:v>400</c:v>
                </c:pt>
                <c:pt idx="6">
                  <c:v>500</c:v>
                </c:pt>
              </c:numCache>
            </c:numRef>
          </c:xVal>
          <c:yVal>
            <c:numRef>
              <c:f>'Punto Equilibrio'!$K$23:$R$23</c:f>
              <c:numCache>
                <c:formatCode>General</c:formatCode>
                <c:ptCount val="8"/>
                <c:pt idx="0" formatCode="_(&quot;$&quot;* #,##0.00_);_(&quot;$&quot;* \(#,##0.00\);_(&quot;$&quot;* &quot;-&quot;??_);_(@_)">
                  <c:v>245274.75</c:v>
                </c:pt>
                <c:pt idx="2" formatCode="_(&quot;$&quot;* #,##0.00_);_(&quot;$&quot;* \(#,##0.00\);_(&quot;$&quot;* &quot;-&quot;??_);_(@_)">
                  <c:v>280266.75</c:v>
                </c:pt>
                <c:pt idx="4" formatCode="_(&quot;$&quot;* #,##0.00_);_(&quot;$&quot;* \(#,##0.00\);_(&quot;$&quot;* &quot;-&quot;??_);_(@_)">
                  <c:v>315258.75</c:v>
                </c:pt>
                <c:pt idx="6" formatCode="_(&quot;$&quot;* #,##0.00_);_(&quot;$&quot;* \(#,##0.00\);_(&quot;$&quot;* &quot;-&quot;??_);_(@_)">
                  <c:v>350250.75</c:v>
                </c:pt>
              </c:numCache>
            </c:numRef>
          </c:yVal>
          <c:smooth val="0"/>
          <c:extLst>
            <c:ext xmlns:c16="http://schemas.microsoft.com/office/drawing/2014/chart" uri="{C3380CC4-5D6E-409C-BE32-E72D297353CC}">
              <c16:uniqueId val="{00000000-9276-4EF1-BB11-81489C149FCA}"/>
            </c:ext>
          </c:extLst>
        </c:ser>
        <c:ser>
          <c:idx val="2"/>
          <c:order val="1"/>
          <c:tx>
            <c:v>Ingresos totales</c:v>
          </c:tx>
          <c:spPr>
            <a:ln w="22225" cap="rnd">
              <a:solidFill>
                <a:schemeClr val="accent3"/>
              </a:solidFill>
            </a:ln>
            <a:effectLst>
              <a:glow rad="139700">
                <a:schemeClr val="accent3">
                  <a:satMod val="175000"/>
                  <a:alpha val="14000"/>
                </a:schemeClr>
              </a:glow>
            </a:effectLst>
          </c:spPr>
          <c:marker>
            <c:symbol val="circle"/>
            <c:size val="3"/>
            <c:spPr>
              <a:solidFill>
                <a:schemeClr val="accent3">
                  <a:lumMod val="60000"/>
                  <a:lumOff val="40000"/>
                </a:schemeClr>
              </a:solidFill>
              <a:ln>
                <a:noFill/>
              </a:ln>
              <a:effectLst>
                <a:glow rad="63500">
                  <a:schemeClr val="accent3">
                    <a:satMod val="175000"/>
                    <a:alpha val="25000"/>
                  </a:schemeClr>
                </a:glow>
              </a:effectLst>
            </c:spPr>
          </c:marker>
          <c:xVal>
            <c:numRef>
              <c:f>'Punto Equilibrio'!$C$20:$J$20</c:f>
              <c:numCache>
                <c:formatCode>General</c:formatCode>
                <c:ptCount val="8"/>
                <c:pt idx="0">
                  <c:v>200</c:v>
                </c:pt>
                <c:pt idx="2">
                  <c:v>300</c:v>
                </c:pt>
                <c:pt idx="4">
                  <c:v>400</c:v>
                </c:pt>
                <c:pt idx="6">
                  <c:v>500</c:v>
                </c:pt>
              </c:numCache>
            </c:numRef>
          </c:xVal>
          <c:yVal>
            <c:numRef>
              <c:f>'Punto Equilibrio'!$C$23:$J$23</c:f>
              <c:numCache>
                <c:formatCode>General</c:formatCode>
                <c:ptCount val="8"/>
                <c:pt idx="0" formatCode="_(&quot;$&quot;* #,##0.00_);_(&quot;$&quot;* \(#,##0.00\);_(&quot;$&quot;* &quot;-&quot;??_);_(@_)">
                  <c:v>107525.24999999999</c:v>
                </c:pt>
                <c:pt idx="2" formatCode="_(&quot;$&quot;* #,##0.00_);_(&quot;$&quot;* \(#,##0.00\);_(&quot;$&quot;* &quot;-&quot;??_);_(@_)">
                  <c:v>248933.24999999997</c:v>
                </c:pt>
                <c:pt idx="4" formatCode="_(&quot;$&quot;* #,##0.00_);_(&quot;$&quot;* \(#,##0.00\);_(&quot;$&quot;* &quot;-&quot;??_);_(@_)">
                  <c:v>390341.25</c:v>
                </c:pt>
                <c:pt idx="6" formatCode="_(&quot;$&quot;* #,##0.00_);_(&quot;$&quot;* \(#,##0.00\);_(&quot;$&quot;* &quot;-&quot;??_);_(@_)">
                  <c:v>531749.25</c:v>
                </c:pt>
              </c:numCache>
            </c:numRef>
          </c:yVal>
          <c:smooth val="0"/>
          <c:extLst>
            <c:ext xmlns:c16="http://schemas.microsoft.com/office/drawing/2014/chart" uri="{C3380CC4-5D6E-409C-BE32-E72D297353CC}">
              <c16:uniqueId val="{00000001-9276-4EF1-BB11-81489C149FCA}"/>
            </c:ext>
          </c:extLst>
        </c:ser>
        <c:ser>
          <c:idx val="3"/>
          <c:order val="2"/>
          <c:tx>
            <c:v>Punto de equilibrio</c:v>
          </c:tx>
          <c:spPr>
            <a:ln w="22225" cap="rnd">
              <a:solidFill>
                <a:schemeClr val="accent4"/>
              </a:solidFill>
            </a:ln>
            <a:effectLst>
              <a:glow rad="139700">
                <a:schemeClr val="accent4">
                  <a:satMod val="175000"/>
                  <a:alpha val="14000"/>
                </a:schemeClr>
              </a:glow>
            </a:effectLst>
          </c:spPr>
          <c:marker>
            <c:symbol val="circle"/>
            <c:size val="3"/>
            <c:spPr>
              <a:solidFill>
                <a:schemeClr val="accent4">
                  <a:lumMod val="60000"/>
                  <a:lumOff val="40000"/>
                </a:schemeClr>
              </a:solidFill>
              <a:ln>
                <a:noFill/>
              </a:ln>
              <a:effectLst>
                <a:glow rad="63500">
                  <a:schemeClr val="accent4">
                    <a:satMod val="175000"/>
                    <a:alpha val="25000"/>
                  </a:schemeClr>
                </a:glow>
              </a:effectLst>
            </c:spPr>
          </c:marker>
          <c:xVal>
            <c:numRef>
              <c:f>'[1]Punto de equilibrio'!$F$5:$F$7</c:f>
              <c:numCache>
                <c:formatCode>General</c:formatCode>
                <c:ptCount val="3"/>
                <c:pt idx="0">
                  <c:v>300.60000000000002</c:v>
                </c:pt>
              </c:numCache>
            </c:numRef>
          </c:xVal>
          <c:yVal>
            <c:numRef>
              <c:f>'[1]Punto de equilibrio'!$F$8:$F$10</c:f>
              <c:numCache>
                <c:formatCode>General</c:formatCode>
                <c:ptCount val="3"/>
                <c:pt idx="0">
                  <c:v>240480</c:v>
                </c:pt>
              </c:numCache>
            </c:numRef>
          </c:yVal>
          <c:smooth val="0"/>
          <c:extLst>
            <c:ext xmlns:c16="http://schemas.microsoft.com/office/drawing/2014/chart" uri="{C3380CC4-5D6E-409C-BE32-E72D297353CC}">
              <c16:uniqueId val="{00000002-9276-4EF1-BB11-81489C149FCA}"/>
            </c:ext>
          </c:extLst>
        </c:ser>
        <c:ser>
          <c:idx val="0"/>
          <c:order val="3"/>
          <c:tx>
            <c:v>Costos fijos</c:v>
          </c:tx>
          <c:spPr>
            <a:ln w="22225" cap="rnd">
              <a:solidFill>
                <a:schemeClr val="accent1"/>
              </a:solidFill>
            </a:ln>
            <a:effectLst>
              <a:glow rad="139700">
                <a:schemeClr val="accent1">
                  <a:satMod val="175000"/>
                  <a:alpha val="14000"/>
                </a:schemeClr>
              </a:glow>
            </a:effectLst>
          </c:spPr>
          <c:marker>
            <c:symbol val="circle"/>
            <c:size val="3"/>
            <c:spPr>
              <a:solidFill>
                <a:schemeClr val="accent1">
                  <a:lumMod val="60000"/>
                  <a:lumOff val="40000"/>
                </a:schemeClr>
              </a:solidFill>
              <a:ln>
                <a:noFill/>
              </a:ln>
              <a:effectLst>
                <a:glow rad="63500">
                  <a:schemeClr val="accent1">
                    <a:satMod val="175000"/>
                    <a:alpha val="25000"/>
                  </a:schemeClr>
                </a:glow>
              </a:effectLst>
            </c:spPr>
          </c:marker>
          <c:xVal>
            <c:numRef>
              <c:f>'Punto Equilibrio'!$S$20:$Z$20</c:f>
              <c:numCache>
                <c:formatCode>General</c:formatCode>
                <c:ptCount val="8"/>
                <c:pt idx="0">
                  <c:v>200</c:v>
                </c:pt>
                <c:pt idx="2">
                  <c:v>300</c:v>
                </c:pt>
                <c:pt idx="4">
                  <c:v>400</c:v>
                </c:pt>
                <c:pt idx="6">
                  <c:v>500</c:v>
                </c:pt>
              </c:numCache>
            </c:numRef>
          </c:xVal>
          <c:yVal>
            <c:numRef>
              <c:f>'Punto Equilibrio'!$S$23:$Z$23</c:f>
              <c:numCache>
                <c:formatCode>General</c:formatCode>
                <c:ptCount val="8"/>
                <c:pt idx="0" formatCode="_(&quot;$&quot;* #,##0.00_);_(&quot;$&quot;* \(#,##0.00\);_(&quot;$&quot;* &quot;-&quot;??_);_(@_)">
                  <c:v>175290.75</c:v>
                </c:pt>
                <c:pt idx="2" formatCode="_(&quot;$&quot;* #,##0.00_);_(&quot;$&quot;* \(#,##0.00\);_(&quot;$&quot;* &quot;-&quot;??_);_(@_)">
                  <c:v>175290.75</c:v>
                </c:pt>
                <c:pt idx="4" formatCode="_(&quot;$&quot;* #,##0.00_);_(&quot;$&quot;* \(#,##0.00\);_(&quot;$&quot;* &quot;-&quot;??_);_(@_)">
                  <c:v>175290.75</c:v>
                </c:pt>
                <c:pt idx="6" formatCode="_(&quot;$&quot;* #,##0.00_);_(&quot;$&quot;* \(#,##0.00\);_(&quot;$&quot;* &quot;-&quot;??_);_(@_)">
                  <c:v>175290.75</c:v>
                </c:pt>
              </c:numCache>
            </c:numRef>
          </c:yVal>
          <c:smooth val="0"/>
          <c:extLst>
            <c:ext xmlns:c16="http://schemas.microsoft.com/office/drawing/2014/chart" uri="{C3380CC4-5D6E-409C-BE32-E72D297353CC}">
              <c16:uniqueId val="{00000003-9276-4EF1-BB11-81489C149FCA}"/>
            </c:ext>
          </c:extLst>
        </c:ser>
        <c:dLbls>
          <c:showLegendKey val="0"/>
          <c:showVal val="0"/>
          <c:showCatName val="0"/>
          <c:showSerName val="0"/>
          <c:showPercent val="0"/>
          <c:showBubbleSize val="0"/>
        </c:dLbls>
        <c:axId val="1872713728"/>
        <c:axId val="1872726784"/>
      </c:scatterChart>
      <c:valAx>
        <c:axId val="1872713728"/>
        <c:scaling>
          <c:orientation val="minMax"/>
        </c:scaling>
        <c:delete val="0"/>
        <c:axPos val="b"/>
        <c:majorGridlines>
          <c:spPr>
            <a:ln w="9525" cap="flat" cmpd="sng" algn="ctr">
              <a:solidFill>
                <a:schemeClr val="dk1">
                  <a:lumMod val="65000"/>
                  <a:lumOff val="35000"/>
                  <a:alpha val="7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s-MX"/>
                  <a:t>Cantidad</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MX"/>
          </a:p>
        </c:txPr>
        <c:crossAx val="1872726784"/>
        <c:crosses val="autoZero"/>
        <c:crossBetween val="midCat"/>
      </c:valAx>
      <c:valAx>
        <c:axId val="1872726784"/>
        <c:scaling>
          <c:orientation val="minMax"/>
        </c:scaling>
        <c:delete val="0"/>
        <c:axPos val="l"/>
        <c:majorGridlines>
          <c:spPr>
            <a:ln w="9525" cap="flat" cmpd="sng" algn="ctr">
              <a:solidFill>
                <a:schemeClr val="dk1">
                  <a:lumMod val="65000"/>
                  <a:lumOff val="35000"/>
                  <a:alpha val="7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s-MX"/>
                  <a:t>Ingresos/Costos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s-MX"/>
            </a:p>
          </c:txPr>
        </c:title>
        <c:numFmt formatCode="_(&quot;$&quot;* #,##0.00_);_(&quot;$&quot;* \(#,##0.00\);_(&quot;$&quot;* &quot;-&quot;??_);_(@_)"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MX"/>
          </a:p>
        </c:txPr>
        <c:crossAx val="187271372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s-MX"/>
              <a:t>2020</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s-MX"/>
        </a:p>
      </c:txPr>
    </c:title>
    <c:autoTitleDeleted val="0"/>
    <c:plotArea>
      <c:layout/>
      <c:scatterChart>
        <c:scatterStyle val="lineMarker"/>
        <c:varyColors val="0"/>
        <c:ser>
          <c:idx val="1"/>
          <c:order val="0"/>
          <c:tx>
            <c:v>Costos totales</c:v>
          </c:tx>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'Punto Equilibrio'!$K$20:$R$20</c:f>
              <c:numCache>
                <c:formatCode>General</c:formatCode>
                <c:ptCount val="8"/>
                <c:pt idx="0">
                  <c:v>200</c:v>
                </c:pt>
                <c:pt idx="2">
                  <c:v>300</c:v>
                </c:pt>
                <c:pt idx="4">
                  <c:v>400</c:v>
                </c:pt>
                <c:pt idx="6">
                  <c:v>500</c:v>
                </c:pt>
              </c:numCache>
            </c:numRef>
          </c:xVal>
          <c:yVal>
            <c:numRef>
              <c:f>'Punto Equilibrio'!$K$24:$R$24</c:f>
              <c:numCache>
                <c:formatCode>General</c:formatCode>
                <c:ptCount val="8"/>
                <c:pt idx="0" formatCode="_(&quot;$&quot;* #,##0.00_);_(&quot;$&quot;* \(#,##0.00\);_(&quot;$&quot;* &quot;-&quot;??_);_(@_)">
                  <c:v>264886.80750000005</c:v>
                </c:pt>
                <c:pt idx="2" formatCode="_(&quot;$&quot;* #,##0.00_);_(&quot;$&quot;* \(#,##0.00\);_(&quot;$&quot;* &quot;-&quot;??_);_(@_)">
                  <c:v>302678.16750000004</c:v>
                </c:pt>
                <c:pt idx="4" formatCode="_(&quot;$&quot;* #,##0.00_);_(&quot;$&quot;* \(#,##0.00\);_(&quot;$&quot;* &quot;-&quot;??_);_(@_)">
                  <c:v>340469.52750000008</c:v>
                </c:pt>
                <c:pt idx="6" formatCode="_(&quot;$&quot;* #,##0.00_);_(&quot;$&quot;* \(#,##0.00\);_(&quot;$&quot;* &quot;-&quot;??_);_(@_)">
                  <c:v>378260.88750000007</c:v>
                </c:pt>
              </c:numCache>
            </c:numRef>
          </c:yVal>
          <c:smooth val="0"/>
          <c:extLst>
            <c:ext xmlns:c16="http://schemas.microsoft.com/office/drawing/2014/chart" uri="{C3380CC4-5D6E-409C-BE32-E72D297353CC}">
              <c16:uniqueId val="{00000000-B481-45F6-B6A1-AECACDD07F44}"/>
            </c:ext>
          </c:extLst>
        </c:ser>
        <c:ser>
          <c:idx val="2"/>
          <c:order val="1"/>
          <c:tx>
            <c:v>Ingresos totales</c:v>
          </c:tx>
          <c:spPr>
            <a:ln w="22225" cap="rnd">
              <a:solidFill>
                <a:schemeClr val="accent3"/>
              </a:solidFill>
            </a:ln>
            <a:effectLst>
              <a:glow rad="139700">
                <a:schemeClr val="accent3">
                  <a:satMod val="175000"/>
                  <a:alpha val="14000"/>
                </a:schemeClr>
              </a:glow>
            </a:effectLst>
          </c:spPr>
          <c:marker>
            <c:symbol val="circle"/>
            <c:size val="3"/>
            <c:spPr>
              <a:solidFill>
                <a:schemeClr val="accent3">
                  <a:lumMod val="60000"/>
                  <a:lumOff val="40000"/>
                </a:schemeClr>
              </a:solidFill>
              <a:ln>
                <a:noFill/>
              </a:ln>
              <a:effectLst>
                <a:glow rad="63500">
                  <a:schemeClr val="accent3">
                    <a:satMod val="175000"/>
                    <a:alpha val="25000"/>
                  </a:schemeClr>
                </a:glow>
              </a:effectLst>
            </c:spPr>
          </c:marker>
          <c:xVal>
            <c:numRef>
              <c:f>'Punto Equilibrio'!$C$20:$J$20</c:f>
              <c:numCache>
                <c:formatCode>General</c:formatCode>
                <c:ptCount val="8"/>
                <c:pt idx="0">
                  <c:v>200</c:v>
                </c:pt>
                <c:pt idx="2">
                  <c:v>300</c:v>
                </c:pt>
                <c:pt idx="4">
                  <c:v>400</c:v>
                </c:pt>
                <c:pt idx="6">
                  <c:v>500</c:v>
                </c:pt>
              </c:numCache>
            </c:numRef>
          </c:xVal>
          <c:yVal>
            <c:numRef>
              <c:f>'Punto Equilibrio'!$C$24:$J$24</c:f>
              <c:numCache>
                <c:formatCode>General</c:formatCode>
                <c:ptCount val="8"/>
                <c:pt idx="0" formatCode="_(&quot;$&quot;* #,##0.00_);_(&quot;$&quot;* \(#,##0.00\);_(&quot;$&quot;* &quot;-&quot;??_);_(@_)">
                  <c:v>105553.19249999996</c:v>
                </c:pt>
                <c:pt idx="2" formatCode="_(&quot;$&quot;* #,##0.00_);_(&quot;$&quot;* \(#,##0.00\);_(&quot;$&quot;* &quot;-&quot;??_);_(@_)">
                  <c:v>252981.83249999996</c:v>
                </c:pt>
                <c:pt idx="4" formatCode="_(&quot;$&quot;* #,##0.00_);_(&quot;$&quot;* \(#,##0.00\);_(&quot;$&quot;* &quot;-&quot;??_);_(@_)">
                  <c:v>400410.47249999992</c:v>
                </c:pt>
                <c:pt idx="6" formatCode="_(&quot;$&quot;* #,##0.00_);_(&quot;$&quot;* \(#,##0.00\);_(&quot;$&quot;* &quot;-&quot;??_);_(@_)">
                  <c:v>547839.11249999993</c:v>
                </c:pt>
              </c:numCache>
            </c:numRef>
          </c:yVal>
          <c:smooth val="0"/>
          <c:extLst>
            <c:ext xmlns:c16="http://schemas.microsoft.com/office/drawing/2014/chart" uri="{C3380CC4-5D6E-409C-BE32-E72D297353CC}">
              <c16:uniqueId val="{00000001-B481-45F6-B6A1-AECACDD07F44}"/>
            </c:ext>
          </c:extLst>
        </c:ser>
        <c:ser>
          <c:idx val="3"/>
          <c:order val="2"/>
          <c:tx>
            <c:v>Punto de equilibrio</c:v>
          </c:tx>
          <c:spPr>
            <a:ln w="22225" cap="rnd">
              <a:solidFill>
                <a:schemeClr val="accent4"/>
              </a:solidFill>
            </a:ln>
            <a:effectLst>
              <a:glow rad="139700">
                <a:schemeClr val="accent4">
                  <a:satMod val="175000"/>
                  <a:alpha val="14000"/>
                </a:schemeClr>
              </a:glow>
            </a:effectLst>
          </c:spPr>
          <c:marker>
            <c:symbol val="circle"/>
            <c:size val="3"/>
            <c:spPr>
              <a:solidFill>
                <a:schemeClr val="accent4">
                  <a:lumMod val="60000"/>
                  <a:lumOff val="40000"/>
                </a:schemeClr>
              </a:solidFill>
              <a:ln>
                <a:noFill/>
              </a:ln>
              <a:effectLst>
                <a:glow rad="63500">
                  <a:schemeClr val="accent4">
                    <a:satMod val="175000"/>
                    <a:alpha val="25000"/>
                  </a:schemeClr>
                </a:glow>
              </a:effectLst>
            </c:spPr>
          </c:marker>
          <c:xVal>
            <c:numRef>
              <c:f>'[1]Punto de equilibrio'!$F$5:$F$7</c:f>
              <c:numCache>
                <c:formatCode>General</c:formatCode>
                <c:ptCount val="3"/>
                <c:pt idx="0">
                  <c:v>300.60000000000002</c:v>
                </c:pt>
              </c:numCache>
            </c:numRef>
          </c:xVal>
          <c:yVal>
            <c:numRef>
              <c:f>'[1]Punto de equilibrio'!$F$8:$F$10</c:f>
              <c:numCache>
                <c:formatCode>General</c:formatCode>
                <c:ptCount val="3"/>
                <c:pt idx="0">
                  <c:v>240480</c:v>
                </c:pt>
              </c:numCache>
            </c:numRef>
          </c:yVal>
          <c:smooth val="0"/>
          <c:extLst>
            <c:ext xmlns:c16="http://schemas.microsoft.com/office/drawing/2014/chart" uri="{C3380CC4-5D6E-409C-BE32-E72D297353CC}">
              <c16:uniqueId val="{00000002-B481-45F6-B6A1-AECACDD07F44}"/>
            </c:ext>
          </c:extLst>
        </c:ser>
        <c:ser>
          <c:idx val="0"/>
          <c:order val="3"/>
          <c:tx>
            <c:v>Costos fijos</c:v>
          </c:tx>
          <c:spPr>
            <a:ln w="22225" cap="rnd">
              <a:solidFill>
                <a:schemeClr val="accent1"/>
              </a:solidFill>
            </a:ln>
            <a:effectLst>
              <a:glow rad="139700">
                <a:schemeClr val="accent1">
                  <a:satMod val="175000"/>
                  <a:alpha val="14000"/>
                </a:schemeClr>
              </a:glow>
            </a:effectLst>
          </c:spPr>
          <c:marker>
            <c:symbol val="circle"/>
            <c:size val="3"/>
            <c:spPr>
              <a:solidFill>
                <a:schemeClr val="accent1">
                  <a:lumMod val="60000"/>
                  <a:lumOff val="40000"/>
                </a:schemeClr>
              </a:solidFill>
              <a:ln>
                <a:noFill/>
              </a:ln>
              <a:effectLst>
                <a:glow rad="63500">
                  <a:schemeClr val="accent1">
                    <a:satMod val="175000"/>
                    <a:alpha val="25000"/>
                  </a:schemeClr>
                </a:glow>
              </a:effectLst>
            </c:spPr>
          </c:marker>
          <c:xVal>
            <c:numRef>
              <c:f>'Punto Equilibrio'!$S$20:$Z$20</c:f>
              <c:numCache>
                <c:formatCode>General</c:formatCode>
                <c:ptCount val="8"/>
                <c:pt idx="0">
                  <c:v>200</c:v>
                </c:pt>
                <c:pt idx="2">
                  <c:v>300</c:v>
                </c:pt>
                <c:pt idx="4">
                  <c:v>400</c:v>
                </c:pt>
                <c:pt idx="6">
                  <c:v>500</c:v>
                </c:pt>
              </c:numCache>
            </c:numRef>
          </c:xVal>
          <c:yVal>
            <c:numRef>
              <c:f>'Punto Equilibrio'!$S$24:$Z$24</c:f>
              <c:numCache>
                <c:formatCode>General</c:formatCode>
                <c:ptCount val="8"/>
                <c:pt idx="0" formatCode="_(&quot;$&quot;* #,##0.00_);_(&quot;$&quot;* \(#,##0.00\);_(&quot;$&quot;* &quot;-&quot;??_);_(@_)">
                  <c:v>189304.08750000002</c:v>
                </c:pt>
                <c:pt idx="2" formatCode="_(&quot;$&quot;* #,##0.00_);_(&quot;$&quot;* \(#,##0.00\);_(&quot;$&quot;* &quot;-&quot;??_);_(@_)">
                  <c:v>189304.08750000002</c:v>
                </c:pt>
                <c:pt idx="4" formatCode="_(&quot;$&quot;* #,##0.00_);_(&quot;$&quot;* \(#,##0.00\);_(&quot;$&quot;* &quot;-&quot;??_);_(@_)">
                  <c:v>189304.08750000002</c:v>
                </c:pt>
                <c:pt idx="6" formatCode="_(&quot;$&quot;* #,##0.00_);_(&quot;$&quot;* \(#,##0.00\);_(&quot;$&quot;* &quot;-&quot;??_);_(@_)">
                  <c:v>189304.08750000002</c:v>
                </c:pt>
              </c:numCache>
            </c:numRef>
          </c:yVal>
          <c:smooth val="0"/>
          <c:extLst>
            <c:ext xmlns:c16="http://schemas.microsoft.com/office/drawing/2014/chart" uri="{C3380CC4-5D6E-409C-BE32-E72D297353CC}">
              <c16:uniqueId val="{00000003-B481-45F6-B6A1-AECACDD07F44}"/>
            </c:ext>
          </c:extLst>
        </c:ser>
        <c:dLbls>
          <c:showLegendKey val="0"/>
          <c:showVal val="0"/>
          <c:showCatName val="0"/>
          <c:showSerName val="0"/>
          <c:showPercent val="0"/>
          <c:showBubbleSize val="0"/>
        </c:dLbls>
        <c:axId val="1872713728"/>
        <c:axId val="1872726784"/>
      </c:scatterChart>
      <c:valAx>
        <c:axId val="1872713728"/>
        <c:scaling>
          <c:orientation val="minMax"/>
        </c:scaling>
        <c:delete val="0"/>
        <c:axPos val="b"/>
        <c:majorGridlines>
          <c:spPr>
            <a:ln w="9525" cap="flat" cmpd="sng" algn="ctr">
              <a:solidFill>
                <a:schemeClr val="dk1">
                  <a:lumMod val="65000"/>
                  <a:lumOff val="35000"/>
                  <a:alpha val="7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s-MX"/>
                  <a:t>Cantidad</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MX"/>
          </a:p>
        </c:txPr>
        <c:crossAx val="1872726784"/>
        <c:crosses val="autoZero"/>
        <c:crossBetween val="midCat"/>
      </c:valAx>
      <c:valAx>
        <c:axId val="1872726784"/>
        <c:scaling>
          <c:orientation val="minMax"/>
        </c:scaling>
        <c:delete val="0"/>
        <c:axPos val="l"/>
        <c:majorGridlines>
          <c:spPr>
            <a:ln w="9525" cap="flat" cmpd="sng" algn="ctr">
              <a:solidFill>
                <a:schemeClr val="dk1">
                  <a:lumMod val="65000"/>
                  <a:lumOff val="35000"/>
                  <a:alpha val="7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s-MX"/>
                  <a:t>Ingresos/Costos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s-MX"/>
            </a:p>
          </c:txPr>
        </c:title>
        <c:numFmt formatCode="_(&quot;$&quot;* #,##0.00_);_(&quot;$&quot;* \(#,##0.00\);_(&quot;$&quot;* &quot;-&quot;??_);_(@_)"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MX"/>
          </a:p>
        </c:txPr>
        <c:crossAx val="187271372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s-MX"/>
              <a:t>2021</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s-MX"/>
        </a:p>
      </c:txPr>
    </c:title>
    <c:autoTitleDeleted val="0"/>
    <c:plotArea>
      <c:layout/>
      <c:scatterChart>
        <c:scatterStyle val="lineMarker"/>
        <c:varyColors val="0"/>
        <c:ser>
          <c:idx val="1"/>
          <c:order val="0"/>
          <c:tx>
            <c:v>Costos totales</c:v>
          </c:tx>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'Punto Equilibrio'!$K$20:$R$20</c:f>
              <c:numCache>
                <c:formatCode>General</c:formatCode>
                <c:ptCount val="8"/>
                <c:pt idx="0">
                  <c:v>200</c:v>
                </c:pt>
                <c:pt idx="2">
                  <c:v>300</c:v>
                </c:pt>
                <c:pt idx="4">
                  <c:v>400</c:v>
                </c:pt>
                <c:pt idx="6">
                  <c:v>500</c:v>
                </c:pt>
              </c:numCache>
            </c:numRef>
          </c:xVal>
          <c:yVal>
            <c:numRef>
              <c:f>'Punto Equilibrio'!$K$25:$R$25</c:f>
              <c:numCache>
                <c:formatCode>General</c:formatCode>
                <c:ptCount val="8"/>
                <c:pt idx="0" formatCode="_(&quot;$&quot;* #,##0.00_);_(&quot;$&quot;* \(#,##0.00\);_(&quot;$&quot;* &quot;-&quot;??_);_(@_)">
                  <c:v>286067.33347500005</c:v>
                </c:pt>
                <c:pt idx="2" formatCode="_(&quot;$&quot;* #,##0.00_);_(&quot;$&quot;* \(#,##0.00\);_(&quot;$&quot;* &quot;-&quot;??_);_(@_)">
                  <c:v>326882.00227500009</c:v>
                </c:pt>
                <c:pt idx="4" formatCode="_(&quot;$&quot;* #,##0.00_);_(&quot;$&quot;* \(#,##0.00\);_(&quot;$&quot;* &quot;-&quot;??_);_(@_)">
                  <c:v>367696.67107500008</c:v>
                </c:pt>
                <c:pt idx="6" formatCode="_(&quot;$&quot;* #,##0.00_);_(&quot;$&quot;* \(#,##0.00\);_(&quot;$&quot;* &quot;-&quot;??_);_(@_)">
                  <c:v>408511.33987500006</c:v>
                </c:pt>
              </c:numCache>
            </c:numRef>
          </c:yVal>
          <c:smooth val="0"/>
          <c:extLst>
            <c:ext xmlns:c16="http://schemas.microsoft.com/office/drawing/2014/chart" uri="{C3380CC4-5D6E-409C-BE32-E72D297353CC}">
              <c16:uniqueId val="{00000000-4BDB-4855-ACC5-C043C6088985}"/>
            </c:ext>
          </c:extLst>
        </c:ser>
        <c:ser>
          <c:idx val="2"/>
          <c:order val="1"/>
          <c:tx>
            <c:v>Ingresos totales</c:v>
          </c:tx>
          <c:spPr>
            <a:ln w="22225" cap="rnd">
              <a:solidFill>
                <a:schemeClr val="accent3"/>
              </a:solidFill>
            </a:ln>
            <a:effectLst>
              <a:glow rad="139700">
                <a:schemeClr val="accent3">
                  <a:satMod val="175000"/>
                  <a:alpha val="14000"/>
                </a:schemeClr>
              </a:glow>
            </a:effectLst>
          </c:spPr>
          <c:marker>
            <c:symbol val="circle"/>
            <c:size val="3"/>
            <c:spPr>
              <a:solidFill>
                <a:schemeClr val="accent3">
                  <a:lumMod val="60000"/>
                  <a:lumOff val="40000"/>
                </a:schemeClr>
              </a:solidFill>
              <a:ln>
                <a:noFill/>
              </a:ln>
              <a:effectLst>
                <a:glow rad="63500">
                  <a:schemeClr val="accent3">
                    <a:satMod val="175000"/>
                    <a:alpha val="25000"/>
                  </a:schemeClr>
                </a:glow>
              </a:effectLst>
            </c:spPr>
          </c:marker>
          <c:xVal>
            <c:numRef>
              <c:f>'Punto Equilibrio'!$C$20:$J$20</c:f>
              <c:numCache>
                <c:formatCode>General</c:formatCode>
                <c:ptCount val="8"/>
                <c:pt idx="0">
                  <c:v>200</c:v>
                </c:pt>
                <c:pt idx="2">
                  <c:v>300</c:v>
                </c:pt>
                <c:pt idx="4">
                  <c:v>400</c:v>
                </c:pt>
                <c:pt idx="6">
                  <c:v>500</c:v>
                </c:pt>
              </c:numCache>
            </c:numRef>
          </c:xVal>
          <c:yVal>
            <c:numRef>
              <c:f>'Punto Equilibrio'!$C$25:$J$25</c:f>
              <c:numCache>
                <c:formatCode>General</c:formatCode>
                <c:ptCount val="8"/>
                <c:pt idx="0" formatCode="_(&quot;$&quot;* #,##0.00_);_(&quot;$&quot;* \(#,##0.00\);_(&quot;$&quot;* &quot;-&quot;??_);_(@_)">
                  <c:v>102894.66652499999</c:v>
                </c:pt>
                <c:pt idx="2" formatCode="_(&quot;$&quot;* #,##0.00_);_(&quot;$&quot;* \(#,##0.00\);_(&quot;$&quot;* &quot;-&quot;??_);_(@_)">
                  <c:v>256560.99772499996</c:v>
                </c:pt>
                <c:pt idx="4" formatCode="_(&quot;$&quot;* #,##0.00_);_(&quot;$&quot;* \(#,##0.00\);_(&quot;$&quot;* &quot;-&quot;??_);_(@_)">
                  <c:v>410227.32892500004</c:v>
                </c:pt>
                <c:pt idx="6" formatCode="_(&quot;$&quot;* #,##0.00_);_(&quot;$&quot;* \(#,##0.00\);_(&quot;$&quot;* &quot;-&quot;??_);_(@_)">
                  <c:v>563893.66012500005</c:v>
                </c:pt>
              </c:numCache>
            </c:numRef>
          </c:yVal>
          <c:smooth val="0"/>
          <c:extLst>
            <c:ext xmlns:c16="http://schemas.microsoft.com/office/drawing/2014/chart" uri="{C3380CC4-5D6E-409C-BE32-E72D297353CC}">
              <c16:uniqueId val="{00000001-4BDB-4855-ACC5-C043C6088985}"/>
            </c:ext>
          </c:extLst>
        </c:ser>
        <c:ser>
          <c:idx val="3"/>
          <c:order val="2"/>
          <c:tx>
            <c:v>Punto de equilibrio</c:v>
          </c:tx>
          <c:spPr>
            <a:ln w="22225" cap="rnd">
              <a:solidFill>
                <a:schemeClr val="accent4"/>
              </a:solidFill>
            </a:ln>
            <a:effectLst>
              <a:glow rad="139700">
                <a:schemeClr val="accent4">
                  <a:satMod val="175000"/>
                  <a:alpha val="14000"/>
                </a:schemeClr>
              </a:glow>
            </a:effectLst>
          </c:spPr>
          <c:marker>
            <c:symbol val="circle"/>
            <c:size val="3"/>
            <c:spPr>
              <a:solidFill>
                <a:schemeClr val="accent4">
                  <a:lumMod val="60000"/>
                  <a:lumOff val="40000"/>
                </a:schemeClr>
              </a:solidFill>
              <a:ln>
                <a:noFill/>
              </a:ln>
              <a:effectLst>
                <a:glow rad="63500">
                  <a:schemeClr val="accent4">
                    <a:satMod val="175000"/>
                    <a:alpha val="25000"/>
                  </a:schemeClr>
                </a:glow>
              </a:effectLst>
            </c:spPr>
          </c:marker>
          <c:xVal>
            <c:numRef>
              <c:f>'[1]Punto de equilibrio'!$F$5:$F$7</c:f>
              <c:numCache>
                <c:formatCode>General</c:formatCode>
                <c:ptCount val="3"/>
                <c:pt idx="0">
                  <c:v>300.60000000000002</c:v>
                </c:pt>
              </c:numCache>
            </c:numRef>
          </c:xVal>
          <c:yVal>
            <c:numRef>
              <c:f>'[1]Punto de equilibrio'!$F$8:$F$10</c:f>
              <c:numCache>
                <c:formatCode>General</c:formatCode>
                <c:ptCount val="3"/>
                <c:pt idx="0">
                  <c:v>240480</c:v>
                </c:pt>
              </c:numCache>
            </c:numRef>
          </c:yVal>
          <c:smooth val="0"/>
          <c:extLst>
            <c:ext xmlns:c16="http://schemas.microsoft.com/office/drawing/2014/chart" uri="{C3380CC4-5D6E-409C-BE32-E72D297353CC}">
              <c16:uniqueId val="{00000002-4BDB-4855-ACC5-C043C6088985}"/>
            </c:ext>
          </c:extLst>
        </c:ser>
        <c:ser>
          <c:idx val="0"/>
          <c:order val="3"/>
          <c:tx>
            <c:v>Costos fijos</c:v>
          </c:tx>
          <c:spPr>
            <a:ln w="22225" cap="rnd">
              <a:solidFill>
                <a:schemeClr val="accent1"/>
              </a:solidFill>
            </a:ln>
            <a:effectLst>
              <a:glow rad="139700">
                <a:schemeClr val="accent1">
                  <a:satMod val="175000"/>
                  <a:alpha val="14000"/>
                </a:schemeClr>
              </a:glow>
            </a:effectLst>
          </c:spPr>
          <c:marker>
            <c:symbol val="circle"/>
            <c:size val="3"/>
            <c:spPr>
              <a:solidFill>
                <a:schemeClr val="accent1">
                  <a:lumMod val="60000"/>
                  <a:lumOff val="40000"/>
                </a:schemeClr>
              </a:solidFill>
              <a:ln>
                <a:noFill/>
              </a:ln>
              <a:effectLst>
                <a:glow rad="63500">
                  <a:schemeClr val="accent1">
                    <a:satMod val="175000"/>
                    <a:alpha val="25000"/>
                  </a:schemeClr>
                </a:glow>
              </a:effectLst>
            </c:spPr>
          </c:marker>
          <c:xVal>
            <c:numRef>
              <c:f>'Punto Equilibrio'!$S$20:$Z$20</c:f>
              <c:numCache>
                <c:formatCode>General</c:formatCode>
                <c:ptCount val="8"/>
                <c:pt idx="0">
                  <c:v>200</c:v>
                </c:pt>
                <c:pt idx="2">
                  <c:v>300</c:v>
                </c:pt>
                <c:pt idx="4">
                  <c:v>400</c:v>
                </c:pt>
                <c:pt idx="6">
                  <c:v>500</c:v>
                </c:pt>
              </c:numCache>
            </c:numRef>
          </c:xVal>
          <c:yVal>
            <c:numRef>
              <c:f>'Punto Equilibrio'!$S$25:$Z$25</c:f>
              <c:numCache>
                <c:formatCode>General</c:formatCode>
                <c:ptCount val="8"/>
                <c:pt idx="0" formatCode="_(&quot;$&quot;* #,##0.00_);_(&quot;$&quot;* \(#,##0.00\);_(&quot;$&quot;* &quot;-&quot;??_);_(@_)">
                  <c:v>204437.99587500005</c:v>
                </c:pt>
                <c:pt idx="2" formatCode="_(&quot;$&quot;* #,##0.00_);_(&quot;$&quot;* \(#,##0.00\);_(&quot;$&quot;* &quot;-&quot;??_);_(@_)">
                  <c:v>204437.99587500005</c:v>
                </c:pt>
                <c:pt idx="4" formatCode="_(&quot;$&quot;* #,##0.00_);_(&quot;$&quot;* \(#,##0.00\);_(&quot;$&quot;* &quot;-&quot;??_);_(@_)">
                  <c:v>204437.99587500005</c:v>
                </c:pt>
                <c:pt idx="6" formatCode="_(&quot;$&quot;* #,##0.00_);_(&quot;$&quot;* \(#,##0.00\);_(&quot;$&quot;* &quot;-&quot;??_);_(@_)">
                  <c:v>204437.99587500005</c:v>
                </c:pt>
              </c:numCache>
            </c:numRef>
          </c:yVal>
          <c:smooth val="0"/>
          <c:extLst>
            <c:ext xmlns:c16="http://schemas.microsoft.com/office/drawing/2014/chart" uri="{C3380CC4-5D6E-409C-BE32-E72D297353CC}">
              <c16:uniqueId val="{00000003-4BDB-4855-ACC5-C043C6088985}"/>
            </c:ext>
          </c:extLst>
        </c:ser>
        <c:dLbls>
          <c:showLegendKey val="0"/>
          <c:showVal val="0"/>
          <c:showCatName val="0"/>
          <c:showSerName val="0"/>
          <c:showPercent val="0"/>
          <c:showBubbleSize val="0"/>
        </c:dLbls>
        <c:axId val="1872713728"/>
        <c:axId val="1872726784"/>
      </c:scatterChart>
      <c:valAx>
        <c:axId val="1872713728"/>
        <c:scaling>
          <c:orientation val="minMax"/>
        </c:scaling>
        <c:delete val="0"/>
        <c:axPos val="b"/>
        <c:majorGridlines>
          <c:spPr>
            <a:ln w="9525" cap="flat" cmpd="sng" algn="ctr">
              <a:solidFill>
                <a:schemeClr val="dk1">
                  <a:lumMod val="65000"/>
                  <a:lumOff val="35000"/>
                  <a:alpha val="7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s-MX"/>
                  <a:t>Cantidad</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MX"/>
          </a:p>
        </c:txPr>
        <c:crossAx val="1872726784"/>
        <c:crosses val="autoZero"/>
        <c:crossBetween val="midCat"/>
      </c:valAx>
      <c:valAx>
        <c:axId val="1872726784"/>
        <c:scaling>
          <c:orientation val="minMax"/>
        </c:scaling>
        <c:delete val="0"/>
        <c:axPos val="l"/>
        <c:majorGridlines>
          <c:spPr>
            <a:ln w="9525" cap="flat" cmpd="sng" algn="ctr">
              <a:solidFill>
                <a:schemeClr val="dk1">
                  <a:lumMod val="65000"/>
                  <a:lumOff val="35000"/>
                  <a:alpha val="7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s-MX"/>
                  <a:t>Ingresos/Costos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s-MX"/>
            </a:p>
          </c:txPr>
        </c:title>
        <c:numFmt formatCode="_(&quot;$&quot;* #,##0.00_);_(&quot;$&quot;* \(#,##0.00\);_(&quot;$&quot;* &quot;-&quot;??_);_(@_)"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MX"/>
          </a:p>
        </c:txPr>
        <c:crossAx val="187271372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s-MX"/>
              <a:t>2022</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s-MX"/>
        </a:p>
      </c:txPr>
    </c:title>
    <c:autoTitleDeleted val="0"/>
    <c:plotArea>
      <c:layout/>
      <c:scatterChart>
        <c:scatterStyle val="lineMarker"/>
        <c:varyColors val="0"/>
        <c:ser>
          <c:idx val="1"/>
          <c:order val="0"/>
          <c:tx>
            <c:v>Costos totales</c:v>
          </c:tx>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'Punto Equilibrio'!$K$20:$R$20</c:f>
              <c:numCache>
                <c:formatCode>General</c:formatCode>
                <c:ptCount val="8"/>
                <c:pt idx="0">
                  <c:v>200</c:v>
                </c:pt>
                <c:pt idx="2">
                  <c:v>300</c:v>
                </c:pt>
                <c:pt idx="4">
                  <c:v>400</c:v>
                </c:pt>
                <c:pt idx="6">
                  <c:v>500</c:v>
                </c:pt>
              </c:numCache>
            </c:numRef>
          </c:xVal>
          <c:yVal>
            <c:numRef>
              <c:f>'Punto Equilibrio'!$K$26:$R$26</c:f>
              <c:numCache>
                <c:formatCode>General</c:formatCode>
                <c:ptCount val="8"/>
                <c:pt idx="0" formatCode="_(&quot;$&quot;* #,##0.00_);_(&quot;$&quot;* \(#,##0.00\);_(&quot;$&quot;* &quot;-&quot;??_);_(@_)">
                  <c:v>308941.78059675009</c:v>
                </c:pt>
                <c:pt idx="2" formatCode="_(&quot;$&quot;* #,##0.00_);_(&quot;$&quot;* \(#,##0.00\);_(&quot;$&quot;* &quot;-&quot;??_);_(@_)">
                  <c:v>353021.62290075008</c:v>
                </c:pt>
                <c:pt idx="4" formatCode="_(&quot;$&quot;* #,##0.00_);_(&quot;$&quot;* \(#,##0.00\);_(&quot;$&quot;* &quot;-&quot;??_);_(@_)">
                  <c:v>397101.46520475007</c:v>
                </c:pt>
                <c:pt idx="6" formatCode="_(&quot;$&quot;* #,##0.00_);_(&quot;$&quot;* \(#,##0.00\);_(&quot;$&quot;* &quot;-&quot;??_);_(@_)">
                  <c:v>441181.30750875012</c:v>
                </c:pt>
              </c:numCache>
            </c:numRef>
          </c:yVal>
          <c:smooth val="0"/>
          <c:extLst>
            <c:ext xmlns:c16="http://schemas.microsoft.com/office/drawing/2014/chart" uri="{C3380CC4-5D6E-409C-BE32-E72D297353CC}">
              <c16:uniqueId val="{00000000-6791-48DF-A8E9-5158C7EEEE24}"/>
            </c:ext>
          </c:extLst>
        </c:ser>
        <c:ser>
          <c:idx val="2"/>
          <c:order val="1"/>
          <c:tx>
            <c:v>Ingresos totales</c:v>
          </c:tx>
          <c:spPr>
            <a:ln w="22225" cap="rnd">
              <a:solidFill>
                <a:schemeClr val="accent3"/>
              </a:solidFill>
            </a:ln>
            <a:effectLst>
              <a:glow rad="139700">
                <a:schemeClr val="accent3">
                  <a:satMod val="175000"/>
                  <a:alpha val="14000"/>
                </a:schemeClr>
              </a:glow>
            </a:effectLst>
          </c:spPr>
          <c:marker>
            <c:symbol val="circle"/>
            <c:size val="3"/>
            <c:spPr>
              <a:solidFill>
                <a:schemeClr val="accent3">
                  <a:lumMod val="60000"/>
                  <a:lumOff val="40000"/>
                </a:schemeClr>
              </a:solidFill>
              <a:ln>
                <a:noFill/>
              </a:ln>
              <a:effectLst>
                <a:glow rad="63500">
                  <a:schemeClr val="accent3">
                    <a:satMod val="175000"/>
                    <a:alpha val="25000"/>
                  </a:schemeClr>
                </a:glow>
              </a:effectLst>
            </c:spPr>
          </c:marker>
          <c:xVal>
            <c:numRef>
              <c:f>'Punto Equilibrio'!$C$20:$J$20</c:f>
              <c:numCache>
                <c:formatCode>General</c:formatCode>
                <c:ptCount val="8"/>
                <c:pt idx="0">
                  <c:v>200</c:v>
                </c:pt>
                <c:pt idx="2">
                  <c:v>300</c:v>
                </c:pt>
                <c:pt idx="4">
                  <c:v>400</c:v>
                </c:pt>
                <c:pt idx="6">
                  <c:v>500</c:v>
                </c:pt>
              </c:numCache>
            </c:numRef>
          </c:xVal>
          <c:yVal>
            <c:numRef>
              <c:f>'Punto Equilibrio'!$C$26:$J$26</c:f>
              <c:numCache>
                <c:formatCode>General</c:formatCode>
                <c:ptCount val="8"/>
                <c:pt idx="0" formatCode="_(&quot;$&quot;* #,##0.00_);_(&quot;$&quot;* \(#,##0.00\);_(&quot;$&quot;* &quot;-&quot;??_);_(@_)">
                  <c:v>99468.319403249974</c:v>
                </c:pt>
                <c:pt idx="2" formatCode="_(&quot;$&quot;* #,##0.00_);_(&quot;$&quot;* \(#,##0.00\);_(&quot;$&quot;* &quot;-&quot;??_);_(@_)">
                  <c:v>259593.52709925003</c:v>
                </c:pt>
                <c:pt idx="4" formatCode="_(&quot;$&quot;* #,##0.00_);_(&quot;$&quot;* \(#,##0.00\);_(&quot;$&quot;* &quot;-&quot;??_);_(@_)">
                  <c:v>419718.73479525</c:v>
                </c:pt>
                <c:pt idx="6" formatCode="_(&quot;$&quot;* #,##0.00_);_(&quot;$&quot;* \(#,##0.00\);_(&quot;$&quot;* &quot;-&quot;??_);_(@_)">
                  <c:v>579843.94249125011</c:v>
                </c:pt>
              </c:numCache>
            </c:numRef>
          </c:yVal>
          <c:smooth val="0"/>
          <c:extLst>
            <c:ext xmlns:c16="http://schemas.microsoft.com/office/drawing/2014/chart" uri="{C3380CC4-5D6E-409C-BE32-E72D297353CC}">
              <c16:uniqueId val="{00000001-6791-48DF-A8E9-5158C7EEEE24}"/>
            </c:ext>
          </c:extLst>
        </c:ser>
        <c:ser>
          <c:idx val="3"/>
          <c:order val="2"/>
          <c:tx>
            <c:v>Punto de equilibrio</c:v>
          </c:tx>
          <c:spPr>
            <a:ln w="22225" cap="rnd">
              <a:solidFill>
                <a:schemeClr val="accent4"/>
              </a:solidFill>
            </a:ln>
            <a:effectLst>
              <a:glow rad="139700">
                <a:schemeClr val="accent4">
                  <a:satMod val="175000"/>
                  <a:alpha val="14000"/>
                </a:schemeClr>
              </a:glow>
            </a:effectLst>
          </c:spPr>
          <c:marker>
            <c:symbol val="circle"/>
            <c:size val="3"/>
            <c:spPr>
              <a:solidFill>
                <a:schemeClr val="accent4">
                  <a:lumMod val="60000"/>
                  <a:lumOff val="40000"/>
                </a:schemeClr>
              </a:solidFill>
              <a:ln>
                <a:noFill/>
              </a:ln>
              <a:effectLst>
                <a:glow rad="63500">
                  <a:schemeClr val="accent4">
                    <a:satMod val="175000"/>
                    <a:alpha val="25000"/>
                  </a:schemeClr>
                </a:glow>
              </a:effectLst>
            </c:spPr>
          </c:marker>
          <c:xVal>
            <c:numRef>
              <c:f>'[1]Punto de equilibrio'!$F$5:$F$7</c:f>
              <c:numCache>
                <c:formatCode>General</c:formatCode>
                <c:ptCount val="3"/>
                <c:pt idx="0">
                  <c:v>300.60000000000002</c:v>
                </c:pt>
              </c:numCache>
            </c:numRef>
          </c:xVal>
          <c:yVal>
            <c:numRef>
              <c:f>'[1]Punto de equilibrio'!$F$8:$F$10</c:f>
              <c:numCache>
                <c:formatCode>General</c:formatCode>
                <c:ptCount val="3"/>
                <c:pt idx="0">
                  <c:v>240480</c:v>
                </c:pt>
              </c:numCache>
            </c:numRef>
          </c:yVal>
          <c:smooth val="0"/>
          <c:extLst>
            <c:ext xmlns:c16="http://schemas.microsoft.com/office/drawing/2014/chart" uri="{C3380CC4-5D6E-409C-BE32-E72D297353CC}">
              <c16:uniqueId val="{00000002-6791-48DF-A8E9-5158C7EEEE24}"/>
            </c:ext>
          </c:extLst>
        </c:ser>
        <c:ser>
          <c:idx val="0"/>
          <c:order val="3"/>
          <c:tx>
            <c:v>Costos fijos</c:v>
          </c:tx>
          <c:spPr>
            <a:ln w="22225" cap="rnd">
              <a:solidFill>
                <a:schemeClr val="accent1"/>
              </a:solidFill>
            </a:ln>
            <a:effectLst>
              <a:glow rad="139700">
                <a:schemeClr val="accent1">
                  <a:satMod val="175000"/>
                  <a:alpha val="14000"/>
                </a:schemeClr>
              </a:glow>
            </a:effectLst>
          </c:spPr>
          <c:marker>
            <c:symbol val="circle"/>
            <c:size val="3"/>
            <c:spPr>
              <a:solidFill>
                <a:schemeClr val="accent1">
                  <a:lumMod val="60000"/>
                  <a:lumOff val="40000"/>
                </a:schemeClr>
              </a:solidFill>
              <a:ln>
                <a:noFill/>
              </a:ln>
              <a:effectLst>
                <a:glow rad="63500">
                  <a:schemeClr val="accent1">
                    <a:satMod val="175000"/>
                    <a:alpha val="25000"/>
                  </a:schemeClr>
                </a:glow>
              </a:effectLst>
            </c:spPr>
          </c:marker>
          <c:xVal>
            <c:numRef>
              <c:f>'Punto Equilibrio'!$S$20:$Z$20</c:f>
              <c:numCache>
                <c:formatCode>General</c:formatCode>
                <c:ptCount val="8"/>
                <c:pt idx="0">
                  <c:v>200</c:v>
                </c:pt>
                <c:pt idx="2">
                  <c:v>300</c:v>
                </c:pt>
                <c:pt idx="4">
                  <c:v>400</c:v>
                </c:pt>
                <c:pt idx="6">
                  <c:v>500</c:v>
                </c:pt>
              </c:numCache>
            </c:numRef>
          </c:xVal>
          <c:yVal>
            <c:numRef>
              <c:f>'Punto Equilibrio'!$S$26:$Z$26</c:f>
              <c:numCache>
                <c:formatCode>General</c:formatCode>
                <c:ptCount val="8"/>
                <c:pt idx="0" formatCode="_(&quot;$&quot;* #,##0.00_);_(&quot;$&quot;* \(#,##0.00\);_(&quot;$&quot;* &quot;-&quot;??_);_(@_)">
                  <c:v>220782.09598875005</c:v>
                </c:pt>
                <c:pt idx="2" formatCode="_(&quot;$&quot;* #,##0.00_);_(&quot;$&quot;* \(#,##0.00\);_(&quot;$&quot;* &quot;-&quot;??_);_(@_)">
                  <c:v>220782.09598875005</c:v>
                </c:pt>
                <c:pt idx="4" formatCode="_(&quot;$&quot;* #,##0.00_);_(&quot;$&quot;* \(#,##0.00\);_(&quot;$&quot;* &quot;-&quot;??_);_(@_)">
                  <c:v>220782.09598875005</c:v>
                </c:pt>
                <c:pt idx="6" formatCode="_(&quot;$&quot;* #,##0.00_);_(&quot;$&quot;* \(#,##0.00\);_(&quot;$&quot;* &quot;-&quot;??_);_(@_)">
                  <c:v>220782.09598875005</c:v>
                </c:pt>
              </c:numCache>
            </c:numRef>
          </c:yVal>
          <c:smooth val="0"/>
          <c:extLst>
            <c:ext xmlns:c16="http://schemas.microsoft.com/office/drawing/2014/chart" uri="{C3380CC4-5D6E-409C-BE32-E72D297353CC}">
              <c16:uniqueId val="{00000003-6791-48DF-A8E9-5158C7EEEE24}"/>
            </c:ext>
          </c:extLst>
        </c:ser>
        <c:dLbls>
          <c:showLegendKey val="0"/>
          <c:showVal val="0"/>
          <c:showCatName val="0"/>
          <c:showSerName val="0"/>
          <c:showPercent val="0"/>
          <c:showBubbleSize val="0"/>
        </c:dLbls>
        <c:axId val="1872713728"/>
        <c:axId val="1872726784"/>
      </c:scatterChart>
      <c:valAx>
        <c:axId val="1872713728"/>
        <c:scaling>
          <c:orientation val="minMax"/>
        </c:scaling>
        <c:delete val="0"/>
        <c:axPos val="b"/>
        <c:majorGridlines>
          <c:spPr>
            <a:ln w="9525" cap="flat" cmpd="sng" algn="ctr">
              <a:solidFill>
                <a:schemeClr val="dk1">
                  <a:lumMod val="65000"/>
                  <a:lumOff val="35000"/>
                  <a:alpha val="7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s-MX"/>
                  <a:t>Cantidad</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MX"/>
          </a:p>
        </c:txPr>
        <c:crossAx val="1872726784"/>
        <c:crosses val="autoZero"/>
        <c:crossBetween val="midCat"/>
      </c:valAx>
      <c:valAx>
        <c:axId val="1872726784"/>
        <c:scaling>
          <c:orientation val="minMax"/>
        </c:scaling>
        <c:delete val="0"/>
        <c:axPos val="l"/>
        <c:majorGridlines>
          <c:spPr>
            <a:ln w="9525" cap="flat" cmpd="sng" algn="ctr">
              <a:solidFill>
                <a:schemeClr val="dk1">
                  <a:lumMod val="65000"/>
                  <a:lumOff val="35000"/>
                  <a:alpha val="7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s-MX"/>
                  <a:t>Ingresos/Costos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s-MX"/>
            </a:p>
          </c:txPr>
        </c:title>
        <c:numFmt formatCode="_(&quot;$&quot;* #,##0.00_);_(&quot;$&quot;* \(#,##0.00\);_(&quot;$&quot;* &quot;-&quot;??_);_(@_)"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MX"/>
          </a:p>
        </c:txPr>
        <c:crossAx val="187271372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s-MX"/>
              <a:t>2023</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s-MX"/>
        </a:p>
      </c:txPr>
    </c:title>
    <c:autoTitleDeleted val="0"/>
    <c:plotArea>
      <c:layout/>
      <c:scatterChart>
        <c:scatterStyle val="lineMarker"/>
        <c:varyColors val="0"/>
        <c:ser>
          <c:idx val="1"/>
          <c:order val="0"/>
          <c:tx>
            <c:v>Costos totales</c:v>
          </c:tx>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'Punto Equilibrio'!$K$20:$R$20</c:f>
              <c:numCache>
                <c:formatCode>General</c:formatCode>
                <c:ptCount val="8"/>
                <c:pt idx="0">
                  <c:v>200</c:v>
                </c:pt>
                <c:pt idx="2">
                  <c:v>300</c:v>
                </c:pt>
                <c:pt idx="4">
                  <c:v>400</c:v>
                </c:pt>
                <c:pt idx="6">
                  <c:v>500</c:v>
                </c:pt>
              </c:numCache>
            </c:numRef>
          </c:xVal>
          <c:yVal>
            <c:numRef>
              <c:f>'Punto Equilibrio'!$K$27:$R$27</c:f>
              <c:numCache>
                <c:formatCode>General</c:formatCode>
                <c:ptCount val="8"/>
                <c:pt idx="0" formatCode="_(&quot;$&quot;* #,##0.00_);_(&quot;$&quot;* \(#,##0.00\);_(&quot;$&quot;* &quot;-&quot;??_);_(@_)">
                  <c:v>333645.63651042758</c:v>
                </c:pt>
                <c:pt idx="2" formatCode="_(&quot;$&quot;* #,##0.00_);_(&quot;$&quot;* \(#,##0.00\);_(&quot;$&quot;* &quot;-&quot;??_);_(@_)">
                  <c:v>381251.86619874765</c:v>
                </c:pt>
                <c:pt idx="4" formatCode="_(&quot;$&quot;* #,##0.00_);_(&quot;$&quot;* \(#,##0.00\);_(&quot;$&quot;* &quot;-&quot;??_);_(@_)">
                  <c:v>428858.09588706761</c:v>
                </c:pt>
                <c:pt idx="6" formatCode="_(&quot;$&quot;* #,##0.00_);_(&quot;$&quot;* \(#,##0.00\);_(&quot;$&quot;* &quot;-&quot;??_);_(@_)">
                  <c:v>476464.32557538763</c:v>
                </c:pt>
              </c:numCache>
            </c:numRef>
          </c:yVal>
          <c:smooth val="0"/>
          <c:extLst>
            <c:ext xmlns:c16="http://schemas.microsoft.com/office/drawing/2014/chart" uri="{C3380CC4-5D6E-409C-BE32-E72D297353CC}">
              <c16:uniqueId val="{00000000-1CB5-4349-953B-380C3370A6BB}"/>
            </c:ext>
          </c:extLst>
        </c:ser>
        <c:ser>
          <c:idx val="2"/>
          <c:order val="1"/>
          <c:tx>
            <c:v>Ingresos totales</c:v>
          </c:tx>
          <c:spPr>
            <a:ln w="22225" cap="rnd">
              <a:solidFill>
                <a:schemeClr val="accent3"/>
              </a:solidFill>
            </a:ln>
            <a:effectLst>
              <a:glow rad="139700">
                <a:schemeClr val="accent3">
                  <a:satMod val="175000"/>
                  <a:alpha val="14000"/>
                </a:schemeClr>
              </a:glow>
            </a:effectLst>
          </c:spPr>
          <c:marker>
            <c:symbol val="circle"/>
            <c:size val="3"/>
            <c:spPr>
              <a:solidFill>
                <a:schemeClr val="accent3">
                  <a:lumMod val="60000"/>
                  <a:lumOff val="40000"/>
                </a:schemeClr>
              </a:solidFill>
              <a:ln>
                <a:noFill/>
              </a:ln>
              <a:effectLst>
                <a:glow rad="63500">
                  <a:schemeClr val="accent3">
                    <a:satMod val="175000"/>
                    <a:alpha val="25000"/>
                  </a:schemeClr>
                </a:glow>
              </a:effectLst>
            </c:spPr>
          </c:marker>
          <c:xVal>
            <c:numRef>
              <c:f>'Punto Equilibrio'!$C$20:$J$20</c:f>
              <c:numCache>
                <c:formatCode>General</c:formatCode>
                <c:ptCount val="8"/>
                <c:pt idx="0">
                  <c:v>200</c:v>
                </c:pt>
                <c:pt idx="2">
                  <c:v>300</c:v>
                </c:pt>
                <c:pt idx="4">
                  <c:v>400</c:v>
                </c:pt>
                <c:pt idx="6">
                  <c:v>500</c:v>
                </c:pt>
              </c:numCache>
            </c:numRef>
          </c:xVal>
          <c:yVal>
            <c:numRef>
              <c:f>'Punto Equilibrio'!$C$27:$J$27</c:f>
              <c:numCache>
                <c:formatCode>General</c:formatCode>
                <c:ptCount val="8"/>
                <c:pt idx="0" formatCode="_(&quot;$&quot;* #,##0.00_);_(&quot;$&quot;* \(#,##0.00\);_(&quot;$&quot;* &quot;-&quot;??_);_(@_)">
                  <c:v>95184.968489572508</c:v>
                </c:pt>
                <c:pt idx="2" formatCode="_(&quot;$&quot;* #,##0.00_);_(&quot;$&quot;* \(#,##0.00\);_(&quot;$&quot;* &quot;-&quot;??_);_(@_)">
                  <c:v>261994.04130125258</c:v>
                </c:pt>
                <c:pt idx="4" formatCode="_(&quot;$&quot;* #,##0.00_);_(&quot;$&quot;* \(#,##0.00\);_(&quot;$&quot;* &quot;-&quot;??_);_(@_)">
                  <c:v>428803.11411293258</c:v>
                </c:pt>
                <c:pt idx="6" formatCode="_(&quot;$&quot;* #,##0.00_);_(&quot;$&quot;* \(#,##0.00\);_(&quot;$&quot;* &quot;-&quot;??_);_(@_)">
                  <c:v>595612.18692461262</c:v>
                </c:pt>
              </c:numCache>
            </c:numRef>
          </c:yVal>
          <c:smooth val="0"/>
          <c:extLst>
            <c:ext xmlns:c16="http://schemas.microsoft.com/office/drawing/2014/chart" uri="{C3380CC4-5D6E-409C-BE32-E72D297353CC}">
              <c16:uniqueId val="{00000001-1CB5-4349-953B-380C3370A6BB}"/>
            </c:ext>
          </c:extLst>
        </c:ser>
        <c:ser>
          <c:idx val="3"/>
          <c:order val="2"/>
          <c:tx>
            <c:v>Punto de equilibrio</c:v>
          </c:tx>
          <c:spPr>
            <a:ln w="22225" cap="rnd">
              <a:solidFill>
                <a:schemeClr val="accent4"/>
              </a:solidFill>
            </a:ln>
            <a:effectLst>
              <a:glow rad="139700">
                <a:schemeClr val="accent4">
                  <a:satMod val="175000"/>
                  <a:alpha val="14000"/>
                </a:schemeClr>
              </a:glow>
            </a:effectLst>
          </c:spPr>
          <c:marker>
            <c:symbol val="circle"/>
            <c:size val="3"/>
            <c:spPr>
              <a:solidFill>
                <a:schemeClr val="accent4">
                  <a:lumMod val="60000"/>
                  <a:lumOff val="40000"/>
                </a:schemeClr>
              </a:solidFill>
              <a:ln>
                <a:noFill/>
              </a:ln>
              <a:effectLst>
                <a:glow rad="63500">
                  <a:schemeClr val="accent4">
                    <a:satMod val="175000"/>
                    <a:alpha val="25000"/>
                  </a:schemeClr>
                </a:glow>
              </a:effectLst>
            </c:spPr>
          </c:marker>
          <c:xVal>
            <c:numRef>
              <c:f>'[1]Punto de equilibrio'!$F$5:$F$7</c:f>
              <c:numCache>
                <c:formatCode>General</c:formatCode>
                <c:ptCount val="3"/>
                <c:pt idx="0">
                  <c:v>300.60000000000002</c:v>
                </c:pt>
              </c:numCache>
            </c:numRef>
          </c:xVal>
          <c:yVal>
            <c:numRef>
              <c:f>'[1]Punto de equilibrio'!$F$8:$F$10</c:f>
              <c:numCache>
                <c:formatCode>General</c:formatCode>
                <c:ptCount val="3"/>
                <c:pt idx="0">
                  <c:v>240480</c:v>
                </c:pt>
              </c:numCache>
            </c:numRef>
          </c:yVal>
          <c:smooth val="0"/>
          <c:extLst>
            <c:ext xmlns:c16="http://schemas.microsoft.com/office/drawing/2014/chart" uri="{C3380CC4-5D6E-409C-BE32-E72D297353CC}">
              <c16:uniqueId val="{00000002-1CB5-4349-953B-380C3370A6BB}"/>
            </c:ext>
          </c:extLst>
        </c:ser>
        <c:ser>
          <c:idx val="0"/>
          <c:order val="3"/>
          <c:tx>
            <c:v>Costos fijos</c:v>
          </c:tx>
          <c:spPr>
            <a:ln w="22225" cap="rnd">
              <a:solidFill>
                <a:schemeClr val="accent1"/>
              </a:solidFill>
            </a:ln>
            <a:effectLst>
              <a:glow rad="139700">
                <a:schemeClr val="accent1">
                  <a:satMod val="175000"/>
                  <a:alpha val="14000"/>
                </a:schemeClr>
              </a:glow>
            </a:effectLst>
          </c:spPr>
          <c:marker>
            <c:symbol val="circle"/>
            <c:size val="3"/>
            <c:spPr>
              <a:solidFill>
                <a:schemeClr val="accent1">
                  <a:lumMod val="60000"/>
                  <a:lumOff val="40000"/>
                </a:schemeClr>
              </a:solidFill>
              <a:ln>
                <a:noFill/>
              </a:ln>
              <a:effectLst>
                <a:glow rad="63500">
                  <a:schemeClr val="accent1">
                    <a:satMod val="175000"/>
                    <a:alpha val="25000"/>
                  </a:schemeClr>
                </a:glow>
              </a:effectLst>
            </c:spPr>
          </c:marker>
          <c:xVal>
            <c:numRef>
              <c:f>'Punto Equilibrio'!$S$20:$Z$20</c:f>
              <c:numCache>
                <c:formatCode>General</c:formatCode>
                <c:ptCount val="8"/>
                <c:pt idx="0">
                  <c:v>200</c:v>
                </c:pt>
                <c:pt idx="2">
                  <c:v>300</c:v>
                </c:pt>
                <c:pt idx="4">
                  <c:v>400</c:v>
                </c:pt>
                <c:pt idx="6">
                  <c:v>500</c:v>
                </c:pt>
              </c:numCache>
            </c:numRef>
          </c:xVal>
          <c:yVal>
            <c:numRef>
              <c:f>'Punto Equilibrio'!$S$27:$Z$27</c:f>
              <c:numCache>
                <c:formatCode>General</c:formatCode>
                <c:ptCount val="8"/>
                <c:pt idx="0" formatCode="_(&quot;$&quot;* #,##0.00_);_(&quot;$&quot;* \(#,##0.00\);_(&quot;$&quot;* &quot;-&quot;??_);_(@_)">
                  <c:v>238433.17713378757</c:v>
                </c:pt>
                <c:pt idx="2" formatCode="_(&quot;$&quot;* #,##0.00_);_(&quot;$&quot;* \(#,##0.00\);_(&quot;$&quot;* &quot;-&quot;??_);_(@_)">
                  <c:v>238433.17713378757</c:v>
                </c:pt>
                <c:pt idx="4" formatCode="_(&quot;$&quot;* #,##0.00_);_(&quot;$&quot;* \(#,##0.00\);_(&quot;$&quot;* &quot;-&quot;??_);_(@_)">
                  <c:v>238433.17713378757</c:v>
                </c:pt>
                <c:pt idx="6" formatCode="_(&quot;$&quot;* #,##0.00_);_(&quot;$&quot;* \(#,##0.00\);_(&quot;$&quot;* &quot;-&quot;??_);_(@_)">
                  <c:v>238433.17713378757</c:v>
                </c:pt>
              </c:numCache>
            </c:numRef>
          </c:yVal>
          <c:smooth val="0"/>
          <c:extLst>
            <c:ext xmlns:c16="http://schemas.microsoft.com/office/drawing/2014/chart" uri="{C3380CC4-5D6E-409C-BE32-E72D297353CC}">
              <c16:uniqueId val="{00000003-1CB5-4349-953B-380C3370A6BB}"/>
            </c:ext>
          </c:extLst>
        </c:ser>
        <c:dLbls>
          <c:showLegendKey val="0"/>
          <c:showVal val="0"/>
          <c:showCatName val="0"/>
          <c:showSerName val="0"/>
          <c:showPercent val="0"/>
          <c:showBubbleSize val="0"/>
        </c:dLbls>
        <c:axId val="1872713728"/>
        <c:axId val="1872726784"/>
      </c:scatterChart>
      <c:valAx>
        <c:axId val="1872713728"/>
        <c:scaling>
          <c:orientation val="minMax"/>
        </c:scaling>
        <c:delete val="0"/>
        <c:axPos val="b"/>
        <c:majorGridlines>
          <c:spPr>
            <a:ln w="9525" cap="flat" cmpd="sng" algn="ctr">
              <a:solidFill>
                <a:schemeClr val="dk1">
                  <a:lumMod val="65000"/>
                  <a:lumOff val="35000"/>
                  <a:alpha val="7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s-MX"/>
                  <a:t>Cantidad</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MX"/>
          </a:p>
        </c:txPr>
        <c:crossAx val="1872726784"/>
        <c:crosses val="autoZero"/>
        <c:crossBetween val="midCat"/>
      </c:valAx>
      <c:valAx>
        <c:axId val="1872726784"/>
        <c:scaling>
          <c:orientation val="minMax"/>
        </c:scaling>
        <c:delete val="0"/>
        <c:axPos val="l"/>
        <c:majorGridlines>
          <c:spPr>
            <a:ln w="9525" cap="flat" cmpd="sng" algn="ctr">
              <a:solidFill>
                <a:schemeClr val="dk1">
                  <a:lumMod val="65000"/>
                  <a:lumOff val="35000"/>
                  <a:alpha val="7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s-MX"/>
                  <a:t>Ingresos/Costos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s-MX"/>
            </a:p>
          </c:txPr>
        </c:title>
        <c:numFmt formatCode="_(&quot;$&quot;* #,##0.00_);_(&quot;$&quot;* \(#,##0.00\);_(&quot;$&quot;* &quot;-&quot;??_);_(@_)"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MX"/>
          </a:p>
        </c:txPr>
        <c:crossAx val="187271372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s-MX"/>
              <a:t>2024</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s-MX"/>
        </a:p>
      </c:txPr>
    </c:title>
    <c:autoTitleDeleted val="0"/>
    <c:plotArea>
      <c:layout/>
      <c:scatterChart>
        <c:scatterStyle val="lineMarker"/>
        <c:varyColors val="0"/>
        <c:ser>
          <c:idx val="1"/>
          <c:order val="0"/>
          <c:tx>
            <c:v>Costos totales</c:v>
          </c:tx>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'Punto Equilibrio'!$K$20:$R$20</c:f>
              <c:numCache>
                <c:formatCode>General</c:formatCode>
                <c:ptCount val="8"/>
                <c:pt idx="0">
                  <c:v>200</c:v>
                </c:pt>
                <c:pt idx="2">
                  <c:v>300</c:v>
                </c:pt>
                <c:pt idx="4">
                  <c:v>400</c:v>
                </c:pt>
                <c:pt idx="6">
                  <c:v>500</c:v>
                </c:pt>
              </c:numCache>
            </c:numRef>
          </c:xVal>
          <c:yVal>
            <c:numRef>
              <c:f>'Punto Equilibrio'!$K$28:$R$28</c:f>
              <c:numCache>
                <c:formatCode>General</c:formatCode>
                <c:ptCount val="8"/>
                <c:pt idx="0" formatCode="_(&quot;$&quot;* #,##0.00_);_(&quot;$&quot;* \(#,##0.00\);_(&quot;$&quot;* &quot;-&quot;??_);_(@_)">
                  <c:v>360325.22657049622</c:v>
                </c:pt>
                <c:pt idx="2" formatCode="_(&quot;$&quot;* #,##0.00_);_(&quot;$&quot;* \(#,##0.00\);_(&quot;$&quot;* &quot;-&quot;??_);_(@_)">
                  <c:v>411739.95463388186</c:v>
                </c:pt>
                <c:pt idx="4" formatCode="_(&quot;$&quot;* #,##0.00_);_(&quot;$&quot;* \(#,##0.00\);_(&quot;$&quot;* &quot;-&quot;??_);_(@_)">
                  <c:v>463154.6826972675</c:v>
                </c:pt>
                <c:pt idx="6" formatCode="_(&quot;$&quot;* #,##0.00_);_(&quot;$&quot;* \(#,##0.00\);_(&quot;$&quot;* &quot;-&quot;??_);_(@_)">
                  <c:v>514569.41076065309</c:v>
                </c:pt>
              </c:numCache>
            </c:numRef>
          </c:yVal>
          <c:smooth val="0"/>
          <c:extLst>
            <c:ext xmlns:c16="http://schemas.microsoft.com/office/drawing/2014/chart" uri="{C3380CC4-5D6E-409C-BE32-E72D297353CC}">
              <c16:uniqueId val="{00000000-5121-4FF1-ACCB-590678E105C1}"/>
            </c:ext>
          </c:extLst>
        </c:ser>
        <c:ser>
          <c:idx val="2"/>
          <c:order val="1"/>
          <c:tx>
            <c:v>Ingresos totales</c:v>
          </c:tx>
          <c:spPr>
            <a:ln w="22225" cap="rnd">
              <a:solidFill>
                <a:schemeClr val="accent3"/>
              </a:solidFill>
            </a:ln>
            <a:effectLst>
              <a:glow rad="139700">
                <a:schemeClr val="accent3">
                  <a:satMod val="175000"/>
                  <a:alpha val="14000"/>
                </a:schemeClr>
              </a:glow>
            </a:effectLst>
          </c:spPr>
          <c:marker>
            <c:symbol val="circle"/>
            <c:size val="3"/>
            <c:spPr>
              <a:solidFill>
                <a:schemeClr val="accent3">
                  <a:lumMod val="60000"/>
                  <a:lumOff val="40000"/>
                </a:schemeClr>
              </a:solidFill>
              <a:ln>
                <a:noFill/>
              </a:ln>
              <a:effectLst>
                <a:glow rad="63500">
                  <a:schemeClr val="accent3">
                    <a:satMod val="175000"/>
                    <a:alpha val="25000"/>
                  </a:schemeClr>
                </a:glow>
              </a:effectLst>
            </c:spPr>
          </c:marker>
          <c:xVal>
            <c:numRef>
              <c:f>'Punto Equilibrio'!$C$20:$J$20</c:f>
              <c:numCache>
                <c:formatCode>General</c:formatCode>
                <c:ptCount val="8"/>
                <c:pt idx="0">
                  <c:v>200</c:v>
                </c:pt>
                <c:pt idx="2">
                  <c:v>300</c:v>
                </c:pt>
                <c:pt idx="4">
                  <c:v>400</c:v>
                </c:pt>
                <c:pt idx="6">
                  <c:v>500</c:v>
                </c:pt>
              </c:numCache>
            </c:numRef>
          </c:xVal>
          <c:yVal>
            <c:numRef>
              <c:f>'Punto Equilibrio'!$C$28:$J$28</c:f>
              <c:numCache>
                <c:formatCode>General</c:formatCode>
                <c:ptCount val="8"/>
                <c:pt idx="0" formatCode="_(&quot;$&quot;* #,##0.00_);_(&quot;$&quot;* \(#,##0.00\);_(&quot;$&quot;* &quot;-&quot;??_);_(@_)">
                  <c:v>89946.908679503947</c:v>
                </c:pt>
                <c:pt idx="2" formatCode="_(&quot;$&quot;* #,##0.00_);_(&quot;$&quot;* \(#,##0.00\);_(&quot;$&quot;* &quot;-&quot;??_);_(@_)">
                  <c:v>263668.24824111839</c:v>
                </c:pt>
                <c:pt idx="4" formatCode="_(&quot;$&quot;* #,##0.00_);_(&quot;$&quot;* \(#,##0.00\);_(&quot;$&quot;* &quot;-&quot;??_);_(@_)">
                  <c:v>437389.58780273283</c:v>
                </c:pt>
                <c:pt idx="6" formatCode="_(&quot;$&quot;* #,##0.00_);_(&quot;$&quot;* \(#,##0.00\);_(&quot;$&quot;* &quot;-&quot;??_);_(@_)">
                  <c:v>611110.92736434727</c:v>
                </c:pt>
              </c:numCache>
            </c:numRef>
          </c:yVal>
          <c:smooth val="0"/>
          <c:extLst>
            <c:ext xmlns:c16="http://schemas.microsoft.com/office/drawing/2014/chart" uri="{C3380CC4-5D6E-409C-BE32-E72D297353CC}">
              <c16:uniqueId val="{00000001-5121-4FF1-ACCB-590678E105C1}"/>
            </c:ext>
          </c:extLst>
        </c:ser>
        <c:ser>
          <c:idx val="3"/>
          <c:order val="2"/>
          <c:tx>
            <c:v>Punto de equilibrio</c:v>
          </c:tx>
          <c:spPr>
            <a:ln w="22225" cap="rnd">
              <a:solidFill>
                <a:schemeClr val="accent4"/>
              </a:solidFill>
            </a:ln>
            <a:effectLst>
              <a:glow rad="139700">
                <a:schemeClr val="accent4">
                  <a:satMod val="175000"/>
                  <a:alpha val="14000"/>
                </a:schemeClr>
              </a:glow>
            </a:effectLst>
          </c:spPr>
          <c:marker>
            <c:symbol val="circle"/>
            <c:size val="3"/>
            <c:spPr>
              <a:solidFill>
                <a:schemeClr val="accent4">
                  <a:lumMod val="60000"/>
                  <a:lumOff val="40000"/>
                </a:schemeClr>
              </a:solidFill>
              <a:ln>
                <a:noFill/>
              </a:ln>
              <a:effectLst>
                <a:glow rad="63500">
                  <a:schemeClr val="accent4">
                    <a:satMod val="175000"/>
                    <a:alpha val="25000"/>
                  </a:schemeClr>
                </a:glow>
              </a:effectLst>
            </c:spPr>
          </c:marker>
          <c:xVal>
            <c:numRef>
              <c:f>'[1]Punto de equilibrio'!$F$5:$F$7</c:f>
              <c:numCache>
                <c:formatCode>General</c:formatCode>
                <c:ptCount val="3"/>
                <c:pt idx="0">
                  <c:v>300.60000000000002</c:v>
                </c:pt>
              </c:numCache>
            </c:numRef>
          </c:xVal>
          <c:yVal>
            <c:numRef>
              <c:f>'[1]Punto de equilibrio'!$F$8:$F$10</c:f>
              <c:numCache>
                <c:formatCode>General</c:formatCode>
                <c:ptCount val="3"/>
                <c:pt idx="0">
                  <c:v>240480</c:v>
                </c:pt>
              </c:numCache>
            </c:numRef>
          </c:yVal>
          <c:smooth val="0"/>
          <c:extLst>
            <c:ext xmlns:c16="http://schemas.microsoft.com/office/drawing/2014/chart" uri="{C3380CC4-5D6E-409C-BE32-E72D297353CC}">
              <c16:uniqueId val="{00000002-5121-4FF1-ACCB-590678E105C1}"/>
            </c:ext>
          </c:extLst>
        </c:ser>
        <c:ser>
          <c:idx val="0"/>
          <c:order val="3"/>
          <c:tx>
            <c:v>Costos fijos</c:v>
          </c:tx>
          <c:spPr>
            <a:ln w="22225" cap="rnd">
              <a:solidFill>
                <a:schemeClr val="accent1"/>
              </a:solidFill>
            </a:ln>
            <a:effectLst>
              <a:glow rad="139700">
                <a:schemeClr val="accent1">
                  <a:satMod val="175000"/>
                  <a:alpha val="14000"/>
                </a:schemeClr>
              </a:glow>
            </a:effectLst>
          </c:spPr>
          <c:marker>
            <c:symbol val="circle"/>
            <c:size val="3"/>
            <c:spPr>
              <a:solidFill>
                <a:schemeClr val="accent1">
                  <a:lumMod val="60000"/>
                  <a:lumOff val="40000"/>
                </a:schemeClr>
              </a:solidFill>
              <a:ln>
                <a:noFill/>
              </a:ln>
              <a:effectLst>
                <a:glow rad="63500">
                  <a:schemeClr val="accent1">
                    <a:satMod val="175000"/>
                    <a:alpha val="25000"/>
                  </a:schemeClr>
                </a:glow>
              </a:effectLst>
            </c:spPr>
          </c:marker>
          <c:xVal>
            <c:numRef>
              <c:f>'Punto Equilibrio'!$S$20:$Z$20</c:f>
              <c:numCache>
                <c:formatCode>General</c:formatCode>
                <c:ptCount val="8"/>
                <c:pt idx="0">
                  <c:v>200</c:v>
                </c:pt>
                <c:pt idx="2">
                  <c:v>300</c:v>
                </c:pt>
                <c:pt idx="4">
                  <c:v>400</c:v>
                </c:pt>
                <c:pt idx="6">
                  <c:v>500</c:v>
                </c:pt>
              </c:numCache>
            </c:numRef>
          </c:xVal>
          <c:yVal>
            <c:numRef>
              <c:f>'Punto Equilibrio'!$S$28:$Z$28</c:f>
              <c:numCache>
                <c:formatCode>General</c:formatCode>
                <c:ptCount val="8"/>
                <c:pt idx="0" formatCode="_(&quot;$&quot;* #,##0.00_);_(&quot;$&quot;* \(#,##0.00\);_(&quot;$&quot;* &quot;-&quot;??_);_(@_)">
                  <c:v>257495.77044372499</c:v>
                </c:pt>
                <c:pt idx="2" formatCode="_(&quot;$&quot;* #,##0.00_);_(&quot;$&quot;* \(#,##0.00\);_(&quot;$&quot;* &quot;-&quot;??_);_(@_)">
                  <c:v>257495.77044372499</c:v>
                </c:pt>
                <c:pt idx="4" formatCode="_(&quot;$&quot;* #,##0.00_);_(&quot;$&quot;* \(#,##0.00\);_(&quot;$&quot;* &quot;-&quot;??_);_(@_)">
                  <c:v>257495.77044372499</c:v>
                </c:pt>
                <c:pt idx="6" formatCode="_(&quot;$&quot;* #,##0.00_);_(&quot;$&quot;* \(#,##0.00\);_(&quot;$&quot;* &quot;-&quot;??_);_(@_)">
                  <c:v>257495.77044372499</c:v>
                </c:pt>
              </c:numCache>
            </c:numRef>
          </c:yVal>
          <c:smooth val="0"/>
          <c:extLst>
            <c:ext xmlns:c16="http://schemas.microsoft.com/office/drawing/2014/chart" uri="{C3380CC4-5D6E-409C-BE32-E72D297353CC}">
              <c16:uniqueId val="{00000003-5121-4FF1-ACCB-590678E105C1}"/>
            </c:ext>
          </c:extLst>
        </c:ser>
        <c:dLbls>
          <c:showLegendKey val="0"/>
          <c:showVal val="0"/>
          <c:showCatName val="0"/>
          <c:showSerName val="0"/>
          <c:showPercent val="0"/>
          <c:showBubbleSize val="0"/>
        </c:dLbls>
        <c:axId val="1872713728"/>
        <c:axId val="1872726784"/>
      </c:scatterChart>
      <c:valAx>
        <c:axId val="1872713728"/>
        <c:scaling>
          <c:orientation val="minMax"/>
        </c:scaling>
        <c:delete val="0"/>
        <c:axPos val="b"/>
        <c:majorGridlines>
          <c:spPr>
            <a:ln w="9525" cap="flat" cmpd="sng" algn="ctr">
              <a:solidFill>
                <a:schemeClr val="dk1">
                  <a:lumMod val="65000"/>
                  <a:lumOff val="35000"/>
                  <a:alpha val="7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s-MX"/>
                  <a:t>Cantidad</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MX"/>
          </a:p>
        </c:txPr>
        <c:crossAx val="1872726784"/>
        <c:crosses val="autoZero"/>
        <c:crossBetween val="midCat"/>
      </c:valAx>
      <c:valAx>
        <c:axId val="1872726784"/>
        <c:scaling>
          <c:orientation val="minMax"/>
        </c:scaling>
        <c:delete val="0"/>
        <c:axPos val="l"/>
        <c:majorGridlines>
          <c:spPr>
            <a:ln w="9525" cap="flat" cmpd="sng" algn="ctr">
              <a:solidFill>
                <a:schemeClr val="dk1">
                  <a:lumMod val="65000"/>
                  <a:lumOff val="35000"/>
                  <a:alpha val="7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s-MX"/>
                  <a:t>Ingresos/Costos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s-MX"/>
            </a:p>
          </c:txPr>
        </c:title>
        <c:numFmt formatCode="_(&quot;$&quot;* #,##0.00_);_(&quot;$&quot;* \(#,##0.00\);_(&quot;$&quot;* &quot;-&quot;??_);_(@_)"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MX"/>
          </a:p>
        </c:txPr>
        <c:crossAx val="187271372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s-MX"/>
              <a:t>2025</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s-MX"/>
        </a:p>
      </c:txPr>
    </c:title>
    <c:autoTitleDeleted val="0"/>
    <c:plotArea>
      <c:layout/>
      <c:scatterChart>
        <c:scatterStyle val="lineMarker"/>
        <c:varyColors val="0"/>
        <c:ser>
          <c:idx val="1"/>
          <c:order val="0"/>
          <c:tx>
            <c:v>Costos totales</c:v>
          </c:tx>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'Punto Equilibrio'!$K$20:$R$20</c:f>
              <c:numCache>
                <c:formatCode>General</c:formatCode>
                <c:ptCount val="8"/>
                <c:pt idx="0">
                  <c:v>200</c:v>
                </c:pt>
                <c:pt idx="2">
                  <c:v>300</c:v>
                </c:pt>
                <c:pt idx="4">
                  <c:v>400</c:v>
                </c:pt>
                <c:pt idx="6">
                  <c:v>500</c:v>
                </c:pt>
              </c:numCache>
            </c:numRef>
          </c:xVal>
          <c:yVal>
            <c:numRef>
              <c:f>'Punto Equilibrio'!$K$29:$R$29</c:f>
              <c:numCache>
                <c:formatCode>General</c:formatCode>
                <c:ptCount val="8"/>
                <c:pt idx="0" formatCode="_(&quot;$&quot;* #,##0.00_);_(&quot;$&quot;* \(#,##0.00\);_(&quot;$&quot;* &quot;-&quot;??_);_(@_)">
                  <c:v>389138.58079233201</c:v>
                </c:pt>
                <c:pt idx="2" formatCode="_(&quot;$&quot;* #,##0.00_);_(&quot;$&quot;* \(#,##0.00\);_(&quot;$&quot;* &quot;-&quot;??_);_(@_)">
                  <c:v>444666.48710078851</c:v>
                </c:pt>
                <c:pt idx="4" formatCode="_(&quot;$&quot;* #,##0.00_);_(&quot;$&quot;* \(#,##0.00\);_(&quot;$&quot;* &quot;-&quot;??_);_(@_)">
                  <c:v>500194.39340924495</c:v>
                </c:pt>
                <c:pt idx="6" formatCode="_(&quot;$&quot;* #,##0.00_);_(&quot;$&quot;* \(#,##0.00\);_(&quot;$&quot;* &quot;-&quot;??_);_(@_)">
                  <c:v>555722.29971770151</c:v>
                </c:pt>
              </c:numCache>
            </c:numRef>
          </c:yVal>
          <c:smooth val="0"/>
          <c:extLst>
            <c:ext xmlns:c16="http://schemas.microsoft.com/office/drawing/2014/chart" uri="{C3380CC4-5D6E-409C-BE32-E72D297353CC}">
              <c16:uniqueId val="{00000000-0980-4940-AF4A-06DBDC71ED24}"/>
            </c:ext>
          </c:extLst>
        </c:ser>
        <c:ser>
          <c:idx val="2"/>
          <c:order val="1"/>
          <c:tx>
            <c:v>Ingresos totales</c:v>
          </c:tx>
          <c:spPr>
            <a:ln w="22225" cap="rnd">
              <a:solidFill>
                <a:schemeClr val="accent3"/>
              </a:solidFill>
            </a:ln>
            <a:effectLst>
              <a:glow rad="139700">
                <a:schemeClr val="accent3">
                  <a:satMod val="175000"/>
                  <a:alpha val="14000"/>
                </a:schemeClr>
              </a:glow>
            </a:effectLst>
          </c:spPr>
          <c:marker>
            <c:symbol val="circle"/>
            <c:size val="3"/>
            <c:spPr>
              <a:solidFill>
                <a:schemeClr val="accent3">
                  <a:lumMod val="60000"/>
                  <a:lumOff val="40000"/>
                </a:schemeClr>
              </a:solidFill>
              <a:ln>
                <a:noFill/>
              </a:ln>
              <a:effectLst>
                <a:glow rad="63500">
                  <a:schemeClr val="accent3">
                    <a:satMod val="175000"/>
                    <a:alpha val="25000"/>
                  </a:schemeClr>
                </a:glow>
              </a:effectLst>
            </c:spPr>
          </c:marker>
          <c:xVal>
            <c:numRef>
              <c:f>'Punto Equilibrio'!$C$20:$J$20</c:f>
              <c:numCache>
                <c:formatCode>General</c:formatCode>
                <c:ptCount val="8"/>
                <c:pt idx="0">
                  <c:v>200</c:v>
                </c:pt>
                <c:pt idx="2">
                  <c:v>300</c:v>
                </c:pt>
                <c:pt idx="4">
                  <c:v>400</c:v>
                </c:pt>
                <c:pt idx="6">
                  <c:v>500</c:v>
                </c:pt>
              </c:numCache>
            </c:numRef>
          </c:xVal>
          <c:yVal>
            <c:numRef>
              <c:f>'Punto Equilibrio'!$C$29:$J$29</c:f>
              <c:numCache>
                <c:formatCode>General</c:formatCode>
                <c:ptCount val="8"/>
                <c:pt idx="0" formatCode="_(&quot;$&quot;* #,##0.00_);_(&quot;$&quot;* \(#,##0.00\);_(&quot;$&quot;* &quot;-&quot;??_);_(@_)">
                  <c:v>83647.1612201682</c:v>
                </c:pt>
                <c:pt idx="2" formatCode="_(&quot;$&quot;* #,##0.00_);_(&quot;$&quot;* \(#,##0.00\);_(&quot;$&quot;* &quot;-&quot;??_);_(@_)">
                  <c:v>264512.12591796182</c:v>
                </c:pt>
                <c:pt idx="4" formatCode="_(&quot;$&quot;* #,##0.00_);_(&quot;$&quot;* \(#,##0.00\);_(&quot;$&quot;* &quot;-&quot;??_);_(@_)">
                  <c:v>445377.09061575547</c:v>
                </c:pt>
                <c:pt idx="6" formatCode="_(&quot;$&quot;* #,##0.00_);_(&quot;$&quot;* \(#,##0.00\);_(&quot;$&quot;* &quot;-&quot;??_);_(@_)">
                  <c:v>626242.055313549</c:v>
                </c:pt>
              </c:numCache>
            </c:numRef>
          </c:yVal>
          <c:smooth val="0"/>
          <c:extLst>
            <c:ext xmlns:c16="http://schemas.microsoft.com/office/drawing/2014/chart" uri="{C3380CC4-5D6E-409C-BE32-E72D297353CC}">
              <c16:uniqueId val="{00000001-0980-4940-AF4A-06DBDC71ED24}"/>
            </c:ext>
          </c:extLst>
        </c:ser>
        <c:ser>
          <c:idx val="3"/>
          <c:order val="2"/>
          <c:tx>
            <c:v>Punto de equilibrio</c:v>
          </c:tx>
          <c:spPr>
            <a:ln w="22225" cap="rnd">
              <a:solidFill>
                <a:schemeClr val="accent4"/>
              </a:solidFill>
            </a:ln>
            <a:effectLst>
              <a:glow rad="139700">
                <a:schemeClr val="accent4">
                  <a:satMod val="175000"/>
                  <a:alpha val="14000"/>
                </a:schemeClr>
              </a:glow>
            </a:effectLst>
          </c:spPr>
          <c:marker>
            <c:symbol val="circle"/>
            <c:size val="3"/>
            <c:spPr>
              <a:solidFill>
                <a:schemeClr val="accent4">
                  <a:lumMod val="60000"/>
                  <a:lumOff val="40000"/>
                </a:schemeClr>
              </a:solidFill>
              <a:ln>
                <a:noFill/>
              </a:ln>
              <a:effectLst>
                <a:glow rad="63500">
                  <a:schemeClr val="accent4">
                    <a:satMod val="175000"/>
                    <a:alpha val="25000"/>
                  </a:schemeClr>
                </a:glow>
              </a:effectLst>
            </c:spPr>
          </c:marker>
          <c:xVal>
            <c:numRef>
              <c:f>'[1]Punto de equilibrio'!$F$5:$F$7</c:f>
              <c:numCache>
                <c:formatCode>General</c:formatCode>
                <c:ptCount val="3"/>
                <c:pt idx="0">
                  <c:v>300.60000000000002</c:v>
                </c:pt>
              </c:numCache>
            </c:numRef>
          </c:xVal>
          <c:yVal>
            <c:numRef>
              <c:f>'[1]Punto de equilibrio'!$F$8:$F$10</c:f>
              <c:numCache>
                <c:formatCode>General</c:formatCode>
                <c:ptCount val="3"/>
                <c:pt idx="0">
                  <c:v>240480</c:v>
                </c:pt>
              </c:numCache>
            </c:numRef>
          </c:yVal>
          <c:smooth val="0"/>
          <c:extLst>
            <c:ext xmlns:c16="http://schemas.microsoft.com/office/drawing/2014/chart" uri="{C3380CC4-5D6E-409C-BE32-E72D297353CC}">
              <c16:uniqueId val="{00000002-0980-4940-AF4A-06DBDC71ED24}"/>
            </c:ext>
          </c:extLst>
        </c:ser>
        <c:ser>
          <c:idx val="0"/>
          <c:order val="3"/>
          <c:tx>
            <c:v>Costos fijos</c:v>
          </c:tx>
          <c:spPr>
            <a:ln w="22225" cap="rnd">
              <a:solidFill>
                <a:schemeClr val="accent1"/>
              </a:solidFill>
            </a:ln>
            <a:effectLst>
              <a:glow rad="139700">
                <a:schemeClr val="accent1">
                  <a:satMod val="175000"/>
                  <a:alpha val="14000"/>
                </a:schemeClr>
              </a:glow>
            </a:effectLst>
          </c:spPr>
          <c:marker>
            <c:symbol val="circle"/>
            <c:size val="3"/>
            <c:spPr>
              <a:solidFill>
                <a:schemeClr val="accent1">
                  <a:lumMod val="60000"/>
                  <a:lumOff val="40000"/>
                </a:schemeClr>
              </a:solidFill>
              <a:ln>
                <a:noFill/>
              </a:ln>
              <a:effectLst>
                <a:glow rad="63500">
                  <a:schemeClr val="accent1">
                    <a:satMod val="175000"/>
                    <a:alpha val="25000"/>
                  </a:schemeClr>
                </a:glow>
              </a:effectLst>
            </c:spPr>
          </c:marker>
          <c:xVal>
            <c:numRef>
              <c:f>'Punto Equilibrio'!$S$20:$Z$20</c:f>
              <c:numCache>
                <c:formatCode>General</c:formatCode>
                <c:ptCount val="8"/>
                <c:pt idx="0">
                  <c:v>200</c:v>
                </c:pt>
                <c:pt idx="2">
                  <c:v>300</c:v>
                </c:pt>
                <c:pt idx="4">
                  <c:v>400</c:v>
                </c:pt>
                <c:pt idx="6">
                  <c:v>500</c:v>
                </c:pt>
              </c:numCache>
            </c:numRef>
          </c:xVal>
          <c:yVal>
            <c:numRef>
              <c:f>'Punto Equilibrio'!$S$29:$Z$29</c:f>
              <c:numCache>
                <c:formatCode>General</c:formatCode>
                <c:ptCount val="8"/>
                <c:pt idx="0" formatCode="_(&quot;$&quot;* #,##0.00_);_(&quot;$&quot;* \(#,##0.00\);_(&quot;$&quot;* &quot;-&quot;??_);_(@_)">
                  <c:v>278082.76817541907</c:v>
                </c:pt>
                <c:pt idx="2" formatCode="_(&quot;$&quot;* #,##0.00_);_(&quot;$&quot;* \(#,##0.00\);_(&quot;$&quot;* &quot;-&quot;??_);_(@_)">
                  <c:v>278082.76817541907</c:v>
                </c:pt>
                <c:pt idx="4" formatCode="_(&quot;$&quot;* #,##0.00_);_(&quot;$&quot;* \(#,##0.00\);_(&quot;$&quot;* &quot;-&quot;??_);_(@_)">
                  <c:v>278082.76817541907</c:v>
                </c:pt>
                <c:pt idx="6" formatCode="_(&quot;$&quot;* #,##0.00_);_(&quot;$&quot;* \(#,##0.00\);_(&quot;$&quot;* &quot;-&quot;??_);_(@_)">
                  <c:v>278082.76817541907</c:v>
                </c:pt>
              </c:numCache>
            </c:numRef>
          </c:yVal>
          <c:smooth val="0"/>
          <c:extLst>
            <c:ext xmlns:c16="http://schemas.microsoft.com/office/drawing/2014/chart" uri="{C3380CC4-5D6E-409C-BE32-E72D297353CC}">
              <c16:uniqueId val="{00000003-0980-4940-AF4A-06DBDC71ED24}"/>
            </c:ext>
          </c:extLst>
        </c:ser>
        <c:dLbls>
          <c:showLegendKey val="0"/>
          <c:showVal val="0"/>
          <c:showCatName val="0"/>
          <c:showSerName val="0"/>
          <c:showPercent val="0"/>
          <c:showBubbleSize val="0"/>
        </c:dLbls>
        <c:axId val="1872713728"/>
        <c:axId val="1872726784"/>
      </c:scatterChart>
      <c:valAx>
        <c:axId val="1872713728"/>
        <c:scaling>
          <c:orientation val="minMax"/>
        </c:scaling>
        <c:delete val="0"/>
        <c:axPos val="b"/>
        <c:majorGridlines>
          <c:spPr>
            <a:ln w="9525" cap="flat" cmpd="sng" algn="ctr">
              <a:solidFill>
                <a:schemeClr val="dk1">
                  <a:lumMod val="65000"/>
                  <a:lumOff val="35000"/>
                  <a:alpha val="7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s-MX"/>
                  <a:t>Cantidad</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MX"/>
          </a:p>
        </c:txPr>
        <c:crossAx val="1872726784"/>
        <c:crosses val="autoZero"/>
        <c:crossBetween val="midCat"/>
      </c:valAx>
      <c:valAx>
        <c:axId val="1872726784"/>
        <c:scaling>
          <c:orientation val="minMax"/>
        </c:scaling>
        <c:delete val="0"/>
        <c:axPos val="l"/>
        <c:majorGridlines>
          <c:spPr>
            <a:ln w="9525" cap="flat" cmpd="sng" algn="ctr">
              <a:solidFill>
                <a:schemeClr val="dk1">
                  <a:lumMod val="65000"/>
                  <a:lumOff val="35000"/>
                  <a:alpha val="7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s-MX"/>
                  <a:t>Ingresos/Costos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s-MX"/>
            </a:p>
          </c:txPr>
        </c:title>
        <c:numFmt formatCode="_(&quot;$&quot;* #,##0.00_);_(&quot;$&quot;* \(#,##0.00\);_(&quot;$&quot;* &quot;-&quot;??_);_(@_)"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MX"/>
          </a:p>
        </c:txPr>
        <c:crossAx val="187271372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s-MX"/>
              <a:t>2026</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s-MX"/>
        </a:p>
      </c:txPr>
    </c:title>
    <c:autoTitleDeleted val="0"/>
    <c:plotArea>
      <c:layout/>
      <c:scatterChart>
        <c:scatterStyle val="lineMarker"/>
        <c:varyColors val="0"/>
        <c:ser>
          <c:idx val="1"/>
          <c:order val="0"/>
          <c:tx>
            <c:v>Costos totales</c:v>
          </c:tx>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'Punto Equilibrio'!$K$20:$R$20</c:f>
              <c:numCache>
                <c:formatCode>General</c:formatCode>
                <c:ptCount val="8"/>
                <c:pt idx="0">
                  <c:v>200</c:v>
                </c:pt>
                <c:pt idx="2">
                  <c:v>300</c:v>
                </c:pt>
                <c:pt idx="4">
                  <c:v>400</c:v>
                </c:pt>
                <c:pt idx="6">
                  <c:v>500</c:v>
                </c:pt>
              </c:numCache>
            </c:numRef>
          </c:xVal>
          <c:yVal>
            <c:numRef>
              <c:f>'Punto Equilibrio'!$K$30:$R$30</c:f>
              <c:numCache>
                <c:formatCode>General</c:formatCode>
                <c:ptCount val="8"/>
                <c:pt idx="0" formatCode="_(&quot;$&quot;* #,##0.00_);_(&quot;$&quot;* \(#,##0.00\);_(&quot;$&quot;* &quot;-&quot;??_);_(@_)">
                  <c:v>420256.37015672459</c:v>
                </c:pt>
                <c:pt idx="2" formatCode="_(&quot;$&quot;* #,##0.00_);_(&quot;$&quot;* \(#,##0.00\);_(&quot;$&quot;* &quot;-&quot;??_);_(@_)">
                  <c:v>480226.50896985759</c:v>
                </c:pt>
                <c:pt idx="4" formatCode="_(&quot;$&quot;* #,##0.00_);_(&quot;$&quot;* \(#,##0.00\);_(&quot;$&quot;* &quot;-&quot;??_);_(@_)">
                  <c:v>540196.64778299059</c:v>
                </c:pt>
                <c:pt idx="6" formatCode="_(&quot;$&quot;* #,##0.00_);_(&quot;$&quot;* \(#,##0.00\);_(&quot;$&quot;* &quot;-&quot;??_);_(@_)">
                  <c:v>600166.78659612359</c:v>
                </c:pt>
              </c:numCache>
            </c:numRef>
          </c:yVal>
          <c:smooth val="0"/>
          <c:extLst>
            <c:ext xmlns:c16="http://schemas.microsoft.com/office/drawing/2014/chart" uri="{C3380CC4-5D6E-409C-BE32-E72D297353CC}">
              <c16:uniqueId val="{00000000-3352-4F45-90CF-EAD46D0D9C7E}"/>
            </c:ext>
          </c:extLst>
        </c:ser>
        <c:ser>
          <c:idx val="2"/>
          <c:order val="1"/>
          <c:tx>
            <c:v>Ingresos totales</c:v>
          </c:tx>
          <c:spPr>
            <a:ln w="22225" cap="rnd">
              <a:solidFill>
                <a:schemeClr val="accent3"/>
              </a:solidFill>
            </a:ln>
            <a:effectLst>
              <a:glow rad="139700">
                <a:schemeClr val="accent3">
                  <a:satMod val="175000"/>
                  <a:alpha val="14000"/>
                </a:schemeClr>
              </a:glow>
            </a:effectLst>
          </c:spPr>
          <c:marker>
            <c:symbol val="circle"/>
            <c:size val="3"/>
            <c:spPr>
              <a:solidFill>
                <a:schemeClr val="accent3">
                  <a:lumMod val="60000"/>
                  <a:lumOff val="40000"/>
                </a:schemeClr>
              </a:solidFill>
              <a:ln>
                <a:noFill/>
              </a:ln>
              <a:effectLst>
                <a:glow rad="63500">
                  <a:schemeClr val="accent3">
                    <a:satMod val="175000"/>
                    <a:alpha val="25000"/>
                  </a:schemeClr>
                </a:glow>
              </a:effectLst>
            </c:spPr>
          </c:marker>
          <c:xVal>
            <c:numRef>
              <c:f>'Punto Equilibrio'!$C$20:$J$20</c:f>
              <c:numCache>
                <c:formatCode>General</c:formatCode>
                <c:ptCount val="8"/>
                <c:pt idx="0">
                  <c:v>200</c:v>
                </c:pt>
                <c:pt idx="2">
                  <c:v>300</c:v>
                </c:pt>
                <c:pt idx="4">
                  <c:v>400</c:v>
                </c:pt>
                <c:pt idx="6">
                  <c:v>500</c:v>
                </c:pt>
              </c:numCache>
            </c:numRef>
          </c:xVal>
          <c:yVal>
            <c:numRef>
              <c:f>'Punto Equilibrio'!$C$30:$J$30</c:f>
              <c:numCache>
                <c:formatCode>General</c:formatCode>
                <c:ptCount val="8"/>
                <c:pt idx="0" formatCode="_(&quot;$&quot;* #,##0.00_);_(&quot;$&quot;* \(#,##0.00\);_(&quot;$&quot;* &quot;-&quot;??_);_(@_)">
                  <c:v>76168.658956400643</c:v>
                </c:pt>
                <c:pt idx="2" formatCode="_(&quot;$&quot;* #,##0.00_);_(&quot;$&quot;* \(#,##0.00\);_(&quot;$&quot;* &quot;-&quot;??_);_(@_)">
                  <c:v>264411.03469983023</c:v>
                </c:pt>
                <c:pt idx="4" formatCode="_(&quot;$&quot;* #,##0.00_);_(&quot;$&quot;* \(#,##0.00\);_(&quot;$&quot;* &quot;-&quot;??_);_(@_)">
                  <c:v>452653.41044325987</c:v>
                </c:pt>
                <c:pt idx="6" formatCode="_(&quot;$&quot;* #,##0.00_);_(&quot;$&quot;* \(#,##0.00\);_(&quot;$&quot;* &quot;-&quot;??_);_(@_)">
                  <c:v>640895.78618668951</c:v>
                </c:pt>
              </c:numCache>
            </c:numRef>
          </c:yVal>
          <c:smooth val="0"/>
          <c:extLst>
            <c:ext xmlns:c16="http://schemas.microsoft.com/office/drawing/2014/chart" uri="{C3380CC4-5D6E-409C-BE32-E72D297353CC}">
              <c16:uniqueId val="{00000001-3352-4F45-90CF-EAD46D0D9C7E}"/>
            </c:ext>
          </c:extLst>
        </c:ser>
        <c:ser>
          <c:idx val="3"/>
          <c:order val="2"/>
          <c:tx>
            <c:v>Punto de equilibrio</c:v>
          </c:tx>
          <c:spPr>
            <a:ln w="22225" cap="rnd">
              <a:solidFill>
                <a:schemeClr val="accent4"/>
              </a:solidFill>
            </a:ln>
            <a:effectLst>
              <a:glow rad="139700">
                <a:schemeClr val="accent4">
                  <a:satMod val="175000"/>
                  <a:alpha val="14000"/>
                </a:schemeClr>
              </a:glow>
            </a:effectLst>
          </c:spPr>
          <c:marker>
            <c:symbol val="circle"/>
            <c:size val="3"/>
            <c:spPr>
              <a:solidFill>
                <a:schemeClr val="accent4">
                  <a:lumMod val="60000"/>
                  <a:lumOff val="40000"/>
                </a:schemeClr>
              </a:solidFill>
              <a:ln>
                <a:noFill/>
              </a:ln>
              <a:effectLst>
                <a:glow rad="63500">
                  <a:schemeClr val="accent4">
                    <a:satMod val="175000"/>
                    <a:alpha val="25000"/>
                  </a:schemeClr>
                </a:glow>
              </a:effectLst>
            </c:spPr>
          </c:marker>
          <c:xVal>
            <c:numRef>
              <c:f>'[1]Punto de equilibrio'!$F$5:$F$7</c:f>
              <c:numCache>
                <c:formatCode>General</c:formatCode>
                <c:ptCount val="3"/>
                <c:pt idx="0">
                  <c:v>300.60000000000002</c:v>
                </c:pt>
              </c:numCache>
            </c:numRef>
          </c:xVal>
          <c:yVal>
            <c:numRef>
              <c:f>'[1]Punto de equilibrio'!$F$8:$F$10</c:f>
              <c:numCache>
                <c:formatCode>General</c:formatCode>
                <c:ptCount val="3"/>
                <c:pt idx="0">
                  <c:v>240480</c:v>
                </c:pt>
              </c:numCache>
            </c:numRef>
          </c:yVal>
          <c:smooth val="0"/>
          <c:extLst>
            <c:ext xmlns:c16="http://schemas.microsoft.com/office/drawing/2014/chart" uri="{C3380CC4-5D6E-409C-BE32-E72D297353CC}">
              <c16:uniqueId val="{00000002-3352-4F45-90CF-EAD46D0D9C7E}"/>
            </c:ext>
          </c:extLst>
        </c:ser>
        <c:ser>
          <c:idx val="0"/>
          <c:order val="3"/>
          <c:tx>
            <c:v>Costos fijos</c:v>
          </c:tx>
          <c:spPr>
            <a:ln w="22225" cap="rnd">
              <a:solidFill>
                <a:schemeClr val="accent1"/>
              </a:solidFill>
            </a:ln>
            <a:effectLst>
              <a:glow rad="139700">
                <a:schemeClr val="accent1">
                  <a:satMod val="175000"/>
                  <a:alpha val="14000"/>
                </a:schemeClr>
              </a:glow>
            </a:effectLst>
          </c:spPr>
          <c:marker>
            <c:symbol val="circle"/>
            <c:size val="3"/>
            <c:spPr>
              <a:solidFill>
                <a:schemeClr val="accent1">
                  <a:lumMod val="60000"/>
                  <a:lumOff val="40000"/>
                </a:schemeClr>
              </a:solidFill>
              <a:ln>
                <a:noFill/>
              </a:ln>
              <a:effectLst>
                <a:glow rad="63500">
                  <a:schemeClr val="accent1">
                    <a:satMod val="175000"/>
                    <a:alpha val="25000"/>
                  </a:schemeClr>
                </a:glow>
              </a:effectLst>
            </c:spPr>
          </c:marker>
          <c:xVal>
            <c:numRef>
              <c:f>'Punto Equilibrio'!$S$20:$Z$20</c:f>
              <c:numCache>
                <c:formatCode>General</c:formatCode>
                <c:ptCount val="8"/>
                <c:pt idx="0">
                  <c:v>200</c:v>
                </c:pt>
                <c:pt idx="2">
                  <c:v>300</c:v>
                </c:pt>
                <c:pt idx="4">
                  <c:v>400</c:v>
                </c:pt>
                <c:pt idx="6">
                  <c:v>500</c:v>
                </c:pt>
              </c:numCache>
            </c:numRef>
          </c:xVal>
          <c:yVal>
            <c:numRef>
              <c:f>'Punto Equilibrio'!$S$30:$Z$30</c:f>
              <c:numCache>
                <c:formatCode>General</c:formatCode>
                <c:ptCount val="8"/>
                <c:pt idx="0" formatCode="_(&quot;$&quot;* #,##0.00_);_(&quot;$&quot;* \(#,##0.00\);_(&quot;$&quot;* &quot;-&quot;??_);_(@_)">
                  <c:v>300316.09253045858</c:v>
                </c:pt>
                <c:pt idx="2" formatCode="_(&quot;$&quot;* #,##0.00_);_(&quot;$&quot;* \(#,##0.00\);_(&quot;$&quot;* &quot;-&quot;??_);_(@_)">
                  <c:v>300316.09253045858</c:v>
                </c:pt>
                <c:pt idx="4" formatCode="_(&quot;$&quot;* #,##0.00_);_(&quot;$&quot;* \(#,##0.00\);_(&quot;$&quot;* &quot;-&quot;??_);_(@_)">
                  <c:v>300316.09253045858</c:v>
                </c:pt>
                <c:pt idx="6" formatCode="_(&quot;$&quot;* #,##0.00_);_(&quot;$&quot;* \(#,##0.00\);_(&quot;$&quot;* &quot;-&quot;??_);_(@_)">
                  <c:v>300316.09253045858</c:v>
                </c:pt>
              </c:numCache>
            </c:numRef>
          </c:yVal>
          <c:smooth val="0"/>
          <c:extLst>
            <c:ext xmlns:c16="http://schemas.microsoft.com/office/drawing/2014/chart" uri="{C3380CC4-5D6E-409C-BE32-E72D297353CC}">
              <c16:uniqueId val="{00000003-3352-4F45-90CF-EAD46D0D9C7E}"/>
            </c:ext>
          </c:extLst>
        </c:ser>
        <c:dLbls>
          <c:showLegendKey val="0"/>
          <c:showVal val="0"/>
          <c:showCatName val="0"/>
          <c:showSerName val="0"/>
          <c:showPercent val="0"/>
          <c:showBubbleSize val="0"/>
        </c:dLbls>
        <c:axId val="1872713728"/>
        <c:axId val="1872726784"/>
      </c:scatterChart>
      <c:valAx>
        <c:axId val="1872713728"/>
        <c:scaling>
          <c:orientation val="minMax"/>
        </c:scaling>
        <c:delete val="0"/>
        <c:axPos val="b"/>
        <c:majorGridlines>
          <c:spPr>
            <a:ln w="9525" cap="flat" cmpd="sng" algn="ctr">
              <a:solidFill>
                <a:schemeClr val="dk1">
                  <a:lumMod val="65000"/>
                  <a:lumOff val="35000"/>
                  <a:alpha val="7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s-MX"/>
                  <a:t>Cantidad</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MX"/>
          </a:p>
        </c:txPr>
        <c:crossAx val="1872726784"/>
        <c:crosses val="autoZero"/>
        <c:crossBetween val="midCat"/>
      </c:valAx>
      <c:valAx>
        <c:axId val="1872726784"/>
        <c:scaling>
          <c:orientation val="minMax"/>
        </c:scaling>
        <c:delete val="0"/>
        <c:axPos val="l"/>
        <c:majorGridlines>
          <c:spPr>
            <a:ln w="9525" cap="flat" cmpd="sng" algn="ctr">
              <a:solidFill>
                <a:schemeClr val="dk1">
                  <a:lumMod val="65000"/>
                  <a:lumOff val="35000"/>
                  <a:alpha val="7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s-MX"/>
                  <a:t>Ingresos/Costos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s-MX"/>
            </a:p>
          </c:txPr>
        </c:title>
        <c:numFmt formatCode="_(&quot;$&quot;* #,##0.00_);_(&quot;$&quot;* \(#,##0.00\);_(&quot;$&quot;* &quot;-&quot;??_);_(@_)"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MX"/>
          </a:p>
        </c:txPr>
        <c:crossAx val="187271372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hyperlink" Target="#'Estado de Resultados'!A1"/><Relationship Id="rId3" Type="http://schemas.openxmlformats.org/officeDocument/2006/relationships/hyperlink" Target="#Portada!A1"/><Relationship Id="rId7" Type="http://schemas.openxmlformats.org/officeDocument/2006/relationships/hyperlink" Target="#'Balance General Incial'!A1"/><Relationship Id="rId12" Type="http://schemas.openxmlformats.org/officeDocument/2006/relationships/hyperlink" Target="#'Punto Equilibrio'!A1"/><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Datos!A1"/><Relationship Id="rId11" Type="http://schemas.openxmlformats.org/officeDocument/2006/relationships/hyperlink" Target="#'Metodos Evaluacion'!A1"/><Relationship Id="rId5" Type="http://schemas.openxmlformats.org/officeDocument/2006/relationships/hyperlink" Target="#Objetivo!A1"/><Relationship Id="rId10" Type="http://schemas.openxmlformats.org/officeDocument/2006/relationships/hyperlink" Target="#'Balance General'!A1"/><Relationship Id="rId4" Type="http://schemas.openxmlformats.org/officeDocument/2006/relationships/hyperlink" Target="#Fundamentacion!A1"/><Relationship Id="rId9" Type="http://schemas.openxmlformats.org/officeDocument/2006/relationships/hyperlink" Target="#FNE!A1"/></Relationships>
</file>

<file path=xl/drawings/_rels/drawing2.xml.rels><?xml version="1.0" encoding="UTF-8" standalone="yes"?>
<Relationships xmlns="http://schemas.openxmlformats.org/package/2006/relationships"><Relationship Id="rId8" Type="http://schemas.openxmlformats.org/officeDocument/2006/relationships/hyperlink" Target="#'Estado de Resultados'!A1"/><Relationship Id="rId3" Type="http://schemas.openxmlformats.org/officeDocument/2006/relationships/hyperlink" Target="#Portada!A1"/><Relationship Id="rId7" Type="http://schemas.openxmlformats.org/officeDocument/2006/relationships/hyperlink" Target="#'Balance General Incial'!A1"/><Relationship Id="rId12" Type="http://schemas.openxmlformats.org/officeDocument/2006/relationships/hyperlink" Target="#'Punto Equilibrio'!A1"/><Relationship Id="rId2" Type="http://schemas.openxmlformats.org/officeDocument/2006/relationships/image" Target="../media/image4.tmp"/><Relationship Id="rId1" Type="http://schemas.openxmlformats.org/officeDocument/2006/relationships/image" Target="../media/image3.tmp"/><Relationship Id="rId6" Type="http://schemas.openxmlformats.org/officeDocument/2006/relationships/hyperlink" Target="#Datos!A1"/><Relationship Id="rId11" Type="http://schemas.openxmlformats.org/officeDocument/2006/relationships/hyperlink" Target="#'Metodos Evaluacion'!A1"/><Relationship Id="rId5" Type="http://schemas.openxmlformats.org/officeDocument/2006/relationships/hyperlink" Target="#Objetivo!A1"/><Relationship Id="rId10" Type="http://schemas.openxmlformats.org/officeDocument/2006/relationships/hyperlink" Target="#'Balance General'!A1"/><Relationship Id="rId4" Type="http://schemas.openxmlformats.org/officeDocument/2006/relationships/hyperlink" Target="#Fundamentacion!A1"/><Relationship Id="rId9" Type="http://schemas.openxmlformats.org/officeDocument/2006/relationships/hyperlink" Target="#FNE!A1"/></Relationships>
</file>

<file path=xl/drawings/_rels/drawing3.xml.rels><?xml version="1.0" encoding="UTF-8" standalone="yes"?>
<Relationships xmlns="http://schemas.openxmlformats.org/package/2006/relationships"><Relationship Id="rId8" Type="http://schemas.openxmlformats.org/officeDocument/2006/relationships/hyperlink" Target="#'Balance General'!A1"/><Relationship Id="rId3" Type="http://schemas.openxmlformats.org/officeDocument/2006/relationships/hyperlink" Target="#Objetivo!A1"/><Relationship Id="rId7" Type="http://schemas.openxmlformats.org/officeDocument/2006/relationships/hyperlink" Target="#FNE!A1"/><Relationship Id="rId2" Type="http://schemas.openxmlformats.org/officeDocument/2006/relationships/hyperlink" Target="#Fundamentacion!A1"/><Relationship Id="rId1" Type="http://schemas.openxmlformats.org/officeDocument/2006/relationships/hyperlink" Target="#Portada!A1"/><Relationship Id="rId6" Type="http://schemas.openxmlformats.org/officeDocument/2006/relationships/hyperlink" Target="#'Estado de Resultados'!A1"/><Relationship Id="rId5" Type="http://schemas.openxmlformats.org/officeDocument/2006/relationships/hyperlink" Target="#'Balance General Incial'!A1"/><Relationship Id="rId10" Type="http://schemas.openxmlformats.org/officeDocument/2006/relationships/hyperlink" Target="#'Punto Equilibrio'!A1"/><Relationship Id="rId4" Type="http://schemas.openxmlformats.org/officeDocument/2006/relationships/hyperlink" Target="#Datos!A1"/><Relationship Id="rId9" Type="http://schemas.openxmlformats.org/officeDocument/2006/relationships/hyperlink" Target="#'Metodos Evaluacion'!A1"/></Relationships>
</file>

<file path=xl/drawings/_rels/drawing4.xml.rels><?xml version="1.0" encoding="UTF-8" standalone="yes"?>
<Relationships xmlns="http://schemas.openxmlformats.org/package/2006/relationships"><Relationship Id="rId8" Type="http://schemas.openxmlformats.org/officeDocument/2006/relationships/hyperlink" Target="#'Balance General'!A1"/><Relationship Id="rId3" Type="http://schemas.openxmlformats.org/officeDocument/2006/relationships/hyperlink" Target="#Objetivo!A1"/><Relationship Id="rId7" Type="http://schemas.openxmlformats.org/officeDocument/2006/relationships/hyperlink" Target="#FNE!A1"/><Relationship Id="rId2" Type="http://schemas.openxmlformats.org/officeDocument/2006/relationships/hyperlink" Target="#Fundamentacion!A1"/><Relationship Id="rId1" Type="http://schemas.openxmlformats.org/officeDocument/2006/relationships/hyperlink" Target="#Portada!A1"/><Relationship Id="rId6" Type="http://schemas.openxmlformats.org/officeDocument/2006/relationships/hyperlink" Target="#'Estado de Resultados'!A1"/><Relationship Id="rId5" Type="http://schemas.openxmlformats.org/officeDocument/2006/relationships/hyperlink" Target="#'Balance General Incial'!A1"/><Relationship Id="rId10" Type="http://schemas.openxmlformats.org/officeDocument/2006/relationships/hyperlink" Target="#'Punto Equilibrio'!A1"/><Relationship Id="rId4" Type="http://schemas.openxmlformats.org/officeDocument/2006/relationships/hyperlink" Target="#Datos!A1"/><Relationship Id="rId9" Type="http://schemas.openxmlformats.org/officeDocument/2006/relationships/hyperlink" Target="#'Metodos Evaluacion'!A1"/></Relationships>
</file>

<file path=xl/drawings/_rels/drawing5.xml.rels><?xml version="1.0" encoding="UTF-8" standalone="yes"?>
<Relationships xmlns="http://schemas.openxmlformats.org/package/2006/relationships"><Relationship Id="rId8" Type="http://schemas.openxmlformats.org/officeDocument/2006/relationships/hyperlink" Target="#'Balance General'!A1"/><Relationship Id="rId3" Type="http://schemas.openxmlformats.org/officeDocument/2006/relationships/hyperlink" Target="#Objetivo!A1"/><Relationship Id="rId7" Type="http://schemas.openxmlformats.org/officeDocument/2006/relationships/hyperlink" Target="#FNE!A1"/><Relationship Id="rId2" Type="http://schemas.openxmlformats.org/officeDocument/2006/relationships/hyperlink" Target="#Fundamentacion!A1"/><Relationship Id="rId1" Type="http://schemas.openxmlformats.org/officeDocument/2006/relationships/hyperlink" Target="#Portada!A1"/><Relationship Id="rId6" Type="http://schemas.openxmlformats.org/officeDocument/2006/relationships/hyperlink" Target="#'Estado de Resultados'!A1"/><Relationship Id="rId5" Type="http://schemas.openxmlformats.org/officeDocument/2006/relationships/hyperlink" Target="#'Balance General Incial'!A1"/><Relationship Id="rId10" Type="http://schemas.openxmlformats.org/officeDocument/2006/relationships/hyperlink" Target="#'Punto Equilibrio'!A1"/><Relationship Id="rId4" Type="http://schemas.openxmlformats.org/officeDocument/2006/relationships/hyperlink" Target="#Datos!A1"/><Relationship Id="rId9" Type="http://schemas.openxmlformats.org/officeDocument/2006/relationships/hyperlink" Target="#'Metodos Evaluacion'!A1"/></Relationships>
</file>

<file path=xl/drawings/_rels/drawing6.xml.rels><?xml version="1.0" encoding="UTF-8" standalone="yes"?>
<Relationships xmlns="http://schemas.openxmlformats.org/package/2006/relationships"><Relationship Id="rId8" Type="http://schemas.openxmlformats.org/officeDocument/2006/relationships/hyperlink" Target="#'Balance General'!A1"/><Relationship Id="rId3" Type="http://schemas.openxmlformats.org/officeDocument/2006/relationships/hyperlink" Target="#Objetivo!A1"/><Relationship Id="rId7" Type="http://schemas.openxmlformats.org/officeDocument/2006/relationships/hyperlink" Target="#FNE!A1"/><Relationship Id="rId2" Type="http://schemas.openxmlformats.org/officeDocument/2006/relationships/hyperlink" Target="#Fundamentacion!A1"/><Relationship Id="rId1" Type="http://schemas.openxmlformats.org/officeDocument/2006/relationships/hyperlink" Target="#Portada!A1"/><Relationship Id="rId6" Type="http://schemas.openxmlformats.org/officeDocument/2006/relationships/hyperlink" Target="#'Estado de Resultados'!A1"/><Relationship Id="rId5" Type="http://schemas.openxmlformats.org/officeDocument/2006/relationships/hyperlink" Target="#'Balance General Incial'!A1"/><Relationship Id="rId10" Type="http://schemas.openxmlformats.org/officeDocument/2006/relationships/hyperlink" Target="#'Punto Equilibrio'!A1"/><Relationship Id="rId4" Type="http://schemas.openxmlformats.org/officeDocument/2006/relationships/hyperlink" Target="#Datos!A1"/><Relationship Id="rId9" Type="http://schemas.openxmlformats.org/officeDocument/2006/relationships/hyperlink" Target="#'Metodos Evaluacion'!A1"/></Relationships>
</file>

<file path=xl/drawings/_rels/drawing7.xml.rels><?xml version="1.0" encoding="UTF-8" standalone="yes"?>
<Relationships xmlns="http://schemas.openxmlformats.org/package/2006/relationships"><Relationship Id="rId8" Type="http://schemas.openxmlformats.org/officeDocument/2006/relationships/hyperlink" Target="#'Balance General'!A1"/><Relationship Id="rId3" Type="http://schemas.openxmlformats.org/officeDocument/2006/relationships/hyperlink" Target="#Objetivo!A1"/><Relationship Id="rId7" Type="http://schemas.openxmlformats.org/officeDocument/2006/relationships/hyperlink" Target="#FNE!A1"/><Relationship Id="rId2" Type="http://schemas.openxmlformats.org/officeDocument/2006/relationships/hyperlink" Target="#Fundamentacion!A1"/><Relationship Id="rId1" Type="http://schemas.openxmlformats.org/officeDocument/2006/relationships/hyperlink" Target="#Portada!A1"/><Relationship Id="rId6" Type="http://schemas.openxmlformats.org/officeDocument/2006/relationships/hyperlink" Target="#'Estado de Resultados'!A1"/><Relationship Id="rId5" Type="http://schemas.openxmlformats.org/officeDocument/2006/relationships/hyperlink" Target="#'Balance General Incial'!A1"/><Relationship Id="rId10" Type="http://schemas.openxmlformats.org/officeDocument/2006/relationships/hyperlink" Target="#'Punto Equilibrio'!A1"/><Relationship Id="rId4" Type="http://schemas.openxmlformats.org/officeDocument/2006/relationships/hyperlink" Target="#Datos!A1"/><Relationship Id="rId9" Type="http://schemas.openxmlformats.org/officeDocument/2006/relationships/hyperlink" Target="#'Metodos Evaluacion'!A1"/></Relationships>
</file>

<file path=xl/drawings/_rels/drawing8.xml.rels><?xml version="1.0" encoding="UTF-8" standalone="yes"?>
<Relationships xmlns="http://schemas.openxmlformats.org/package/2006/relationships"><Relationship Id="rId8" Type="http://schemas.openxmlformats.org/officeDocument/2006/relationships/hyperlink" Target="#'Balance General'!A1"/><Relationship Id="rId3" Type="http://schemas.openxmlformats.org/officeDocument/2006/relationships/hyperlink" Target="#Objetivo!A1"/><Relationship Id="rId7" Type="http://schemas.openxmlformats.org/officeDocument/2006/relationships/hyperlink" Target="#FNE!A1"/><Relationship Id="rId2" Type="http://schemas.openxmlformats.org/officeDocument/2006/relationships/hyperlink" Target="#Fundamentacion!A1"/><Relationship Id="rId1" Type="http://schemas.openxmlformats.org/officeDocument/2006/relationships/hyperlink" Target="#Portada!A1"/><Relationship Id="rId6" Type="http://schemas.openxmlformats.org/officeDocument/2006/relationships/hyperlink" Target="#'Estado de Resultados'!A1"/><Relationship Id="rId5" Type="http://schemas.openxmlformats.org/officeDocument/2006/relationships/hyperlink" Target="#'Balance General Incial'!A1"/><Relationship Id="rId10" Type="http://schemas.openxmlformats.org/officeDocument/2006/relationships/hyperlink" Target="#'Punto Equilibrio'!A1"/><Relationship Id="rId4" Type="http://schemas.openxmlformats.org/officeDocument/2006/relationships/hyperlink" Target="#Datos!A1"/><Relationship Id="rId9" Type="http://schemas.openxmlformats.org/officeDocument/2006/relationships/hyperlink" Target="#'Metodos Evaluacion'!A1"/></Relationships>
</file>

<file path=xl/drawings/_rels/drawing9.xml.rels><?xml version="1.0" encoding="UTF-8" standalone="yes"?>
<Relationships xmlns="http://schemas.openxmlformats.org/package/2006/relationships"><Relationship Id="rId8" Type="http://schemas.openxmlformats.org/officeDocument/2006/relationships/hyperlink" Target="#'Balance General'!A1"/><Relationship Id="rId3" Type="http://schemas.openxmlformats.org/officeDocument/2006/relationships/hyperlink" Target="#Objetivo!A1"/><Relationship Id="rId7" Type="http://schemas.openxmlformats.org/officeDocument/2006/relationships/hyperlink" Target="#FNE!A1"/><Relationship Id="rId2" Type="http://schemas.openxmlformats.org/officeDocument/2006/relationships/hyperlink" Target="#Fundamentacion!A1"/><Relationship Id="rId1" Type="http://schemas.openxmlformats.org/officeDocument/2006/relationships/hyperlink" Target="#Portada!A1"/><Relationship Id="rId6" Type="http://schemas.openxmlformats.org/officeDocument/2006/relationships/hyperlink" Target="#'Estado de Resultados'!A1"/><Relationship Id="rId5" Type="http://schemas.openxmlformats.org/officeDocument/2006/relationships/hyperlink" Target="#'Balance General Incial'!A1"/><Relationship Id="rId10" Type="http://schemas.openxmlformats.org/officeDocument/2006/relationships/hyperlink" Target="#'Punto Equilibrio'!A1"/><Relationship Id="rId4" Type="http://schemas.openxmlformats.org/officeDocument/2006/relationships/hyperlink" Target="#Datos!A1"/><Relationship Id="rId9" Type="http://schemas.openxmlformats.org/officeDocument/2006/relationships/hyperlink" Target="#'Metodos Evaluacion'!A1"/></Relationships>
</file>

<file path=xl/drawings/_rels/drawing10.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hyperlink" Target="#Objetivo!A1"/><Relationship Id="rId18" Type="http://schemas.openxmlformats.org/officeDocument/2006/relationships/hyperlink" Target="#'Balance General'!A1"/><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hyperlink" Target="#Fundamentacion!A1"/><Relationship Id="rId17" Type="http://schemas.openxmlformats.org/officeDocument/2006/relationships/hyperlink" Target="#FNE!A1"/><Relationship Id="rId2" Type="http://schemas.openxmlformats.org/officeDocument/2006/relationships/chart" Target="../charts/chart2.xml"/><Relationship Id="rId16" Type="http://schemas.openxmlformats.org/officeDocument/2006/relationships/hyperlink" Target="#'Estado de Resultados'!A1"/><Relationship Id="rId20" Type="http://schemas.openxmlformats.org/officeDocument/2006/relationships/hyperlink" Target="#'Punto Equilibrio'!A1"/><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hyperlink" Target="#Portada!A1"/><Relationship Id="rId5" Type="http://schemas.openxmlformats.org/officeDocument/2006/relationships/chart" Target="../charts/chart5.xml"/><Relationship Id="rId15" Type="http://schemas.openxmlformats.org/officeDocument/2006/relationships/hyperlink" Target="#'Balance General Incial'!A1"/><Relationship Id="rId10" Type="http://schemas.openxmlformats.org/officeDocument/2006/relationships/chart" Target="../charts/chart10.xml"/><Relationship Id="rId19" Type="http://schemas.openxmlformats.org/officeDocument/2006/relationships/hyperlink" Target="#'Metodos Evaluacion'!A1"/><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hyperlink" Target="#Datos!A1"/></Relationships>
</file>

<file path=xl/drawings/drawing1.xml><?xml version="1.0" encoding="utf-8"?>
<xdr:wsDr xmlns:xdr="http://schemas.openxmlformats.org/drawingml/2006/spreadsheetDrawing" xmlns:a="http://schemas.openxmlformats.org/drawingml/2006/main">
  <xdr:twoCellAnchor editAs="oneCell">
    <xdr:from>
      <xdr:col>0</xdr:col>
      <xdr:colOff>165287</xdr:colOff>
      <xdr:row>1</xdr:row>
      <xdr:rowOff>25214</xdr:rowOff>
    </xdr:from>
    <xdr:to>
      <xdr:col>2</xdr:col>
      <xdr:colOff>231962</xdr:colOff>
      <xdr:row>13</xdr:row>
      <xdr:rowOff>114114</xdr:rowOff>
    </xdr:to>
    <xdr:pic>
      <xdr:nvPicPr>
        <xdr:cNvPr id="2" name="27 Imagen" descr="ipn.png">
          <a:extLst>
            <a:ext uri="{FF2B5EF4-FFF2-40B4-BE49-F238E27FC236}">
              <a16:creationId xmlns:a16="http://schemas.microsoft.com/office/drawing/2014/main" id="{021C13BE-6962-424C-A9E4-14F311B5851D}"/>
            </a:ext>
          </a:extLst>
        </xdr:cNvPr>
        <xdr:cNvPicPr>
          <a:picLocks noChangeAspect="1"/>
        </xdr:cNvPicPr>
      </xdr:nvPicPr>
      <xdr:blipFill rotWithShape="1">
        <a:blip xmlns:r="http://schemas.openxmlformats.org/officeDocument/2006/relationships" r:embed="rId1"/>
        <a:srcRect l="14571" r="13857"/>
        <a:stretch/>
      </xdr:blipFill>
      <xdr:spPr>
        <a:xfrm>
          <a:off x="165287" y="215714"/>
          <a:ext cx="1590675" cy="2374900"/>
        </a:xfrm>
        <a:prstGeom prst="rect">
          <a:avLst/>
        </a:prstGeom>
      </xdr:spPr>
    </xdr:pic>
    <xdr:clientData/>
  </xdr:twoCellAnchor>
  <xdr:twoCellAnchor editAs="oneCell">
    <xdr:from>
      <xdr:col>6</xdr:col>
      <xdr:colOff>657225</xdr:colOff>
      <xdr:row>3</xdr:row>
      <xdr:rowOff>85725</xdr:rowOff>
    </xdr:from>
    <xdr:to>
      <xdr:col>9</xdr:col>
      <xdr:colOff>393195</xdr:colOff>
      <xdr:row>11</xdr:row>
      <xdr:rowOff>171450</xdr:rowOff>
    </xdr:to>
    <xdr:pic>
      <xdr:nvPicPr>
        <xdr:cNvPr id="3" name="22 Imagen" descr="escom.png">
          <a:extLst>
            <a:ext uri="{FF2B5EF4-FFF2-40B4-BE49-F238E27FC236}">
              <a16:creationId xmlns:a16="http://schemas.microsoft.com/office/drawing/2014/main" id="{AC7219B0-3C31-42C2-81E1-8E2365759459}"/>
            </a:ext>
          </a:extLst>
        </xdr:cNvPr>
        <xdr:cNvPicPr>
          <a:picLocks noChangeAspect="1"/>
        </xdr:cNvPicPr>
      </xdr:nvPicPr>
      <xdr:blipFill rotWithShape="1">
        <a:blip xmlns:r="http://schemas.openxmlformats.org/officeDocument/2006/relationships" r:embed="rId2"/>
        <a:srcRect t="10028" b="16530"/>
        <a:stretch/>
      </xdr:blipFill>
      <xdr:spPr>
        <a:xfrm>
          <a:off x="5229225" y="657225"/>
          <a:ext cx="2021970" cy="1609725"/>
        </a:xfrm>
        <a:prstGeom prst="rect">
          <a:avLst/>
        </a:prstGeom>
      </xdr:spPr>
    </xdr:pic>
    <xdr:clientData/>
  </xdr:twoCellAnchor>
  <xdr:twoCellAnchor>
    <xdr:from>
      <xdr:col>0</xdr:col>
      <xdr:colOff>314325</xdr:colOff>
      <xdr:row>23</xdr:row>
      <xdr:rowOff>38100</xdr:rowOff>
    </xdr:from>
    <xdr:to>
      <xdr:col>2</xdr:col>
      <xdr:colOff>209550</xdr:colOff>
      <xdr:row>24</xdr:row>
      <xdr:rowOff>142875</xdr:rowOff>
    </xdr:to>
    <xdr:sp macro="" textlink="">
      <xdr:nvSpPr>
        <xdr:cNvPr id="4" name="Rectángulo: esquinas redondeadas 3">
          <a:hlinkClick xmlns:r="http://schemas.openxmlformats.org/officeDocument/2006/relationships" r:id="rId3"/>
          <a:extLst>
            <a:ext uri="{FF2B5EF4-FFF2-40B4-BE49-F238E27FC236}">
              <a16:creationId xmlns:a16="http://schemas.microsoft.com/office/drawing/2014/main" id="{23650A1E-D64C-4237-8536-C96A9CB285A4}"/>
            </a:ext>
          </a:extLst>
        </xdr:cNvPr>
        <xdr:cNvSpPr/>
      </xdr:nvSpPr>
      <xdr:spPr>
        <a:xfrm>
          <a:off x="314325" y="455295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Portada</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2</xdr:col>
      <xdr:colOff>333375</xdr:colOff>
      <xdr:row>23</xdr:row>
      <xdr:rowOff>38100</xdr:rowOff>
    </xdr:from>
    <xdr:to>
      <xdr:col>4</xdr:col>
      <xdr:colOff>228600</xdr:colOff>
      <xdr:row>24</xdr:row>
      <xdr:rowOff>142875</xdr:rowOff>
    </xdr:to>
    <xdr:sp macro="" textlink="">
      <xdr:nvSpPr>
        <xdr:cNvPr id="5" name="Rectángulo: esquinas redondeadas 4">
          <a:hlinkClick xmlns:r="http://schemas.openxmlformats.org/officeDocument/2006/relationships" r:id="rId4"/>
          <a:extLst>
            <a:ext uri="{FF2B5EF4-FFF2-40B4-BE49-F238E27FC236}">
              <a16:creationId xmlns:a16="http://schemas.microsoft.com/office/drawing/2014/main" id="{46C87C43-482F-40ED-8B65-C7BCEE3ACCAF}"/>
            </a:ext>
          </a:extLst>
        </xdr:cNvPr>
        <xdr:cNvSpPr/>
      </xdr:nvSpPr>
      <xdr:spPr>
        <a:xfrm>
          <a:off x="1857375" y="455295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Fundamentación</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4</xdr:col>
      <xdr:colOff>333375</xdr:colOff>
      <xdr:row>23</xdr:row>
      <xdr:rowOff>57150</xdr:rowOff>
    </xdr:from>
    <xdr:to>
      <xdr:col>6</xdr:col>
      <xdr:colOff>228600</xdr:colOff>
      <xdr:row>24</xdr:row>
      <xdr:rowOff>161925</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31D8C3A7-3742-4FB2-AB00-0EB282260425}"/>
            </a:ext>
          </a:extLst>
        </xdr:cNvPr>
        <xdr:cNvSpPr/>
      </xdr:nvSpPr>
      <xdr:spPr>
        <a:xfrm>
          <a:off x="3381375" y="457200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Objetivo</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6</xdr:col>
      <xdr:colOff>352425</xdr:colOff>
      <xdr:row>23</xdr:row>
      <xdr:rowOff>47625</xdr:rowOff>
    </xdr:from>
    <xdr:to>
      <xdr:col>8</xdr:col>
      <xdr:colOff>247650</xdr:colOff>
      <xdr:row>24</xdr:row>
      <xdr:rowOff>152400</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FE2851BA-4C63-4224-8C2D-EA3E80BAE1E0}"/>
            </a:ext>
          </a:extLst>
        </xdr:cNvPr>
        <xdr:cNvSpPr/>
      </xdr:nvSpPr>
      <xdr:spPr>
        <a:xfrm>
          <a:off x="4924425" y="4562475"/>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Datos</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xdr:col>
      <xdr:colOff>171450</xdr:colOff>
      <xdr:row>25</xdr:row>
      <xdr:rowOff>19049</xdr:rowOff>
    </xdr:from>
    <xdr:to>
      <xdr:col>3</xdr:col>
      <xdr:colOff>200025</xdr:colOff>
      <xdr:row>27</xdr:row>
      <xdr:rowOff>104774</xdr:rowOff>
    </xdr:to>
    <xdr:sp macro="" textlink="">
      <xdr:nvSpPr>
        <xdr:cNvPr id="8" name="Rectángulo: esquinas redondeadas 7">
          <a:hlinkClick xmlns:r="http://schemas.openxmlformats.org/officeDocument/2006/relationships" r:id="rId7"/>
          <a:extLst>
            <a:ext uri="{FF2B5EF4-FFF2-40B4-BE49-F238E27FC236}">
              <a16:creationId xmlns:a16="http://schemas.microsoft.com/office/drawing/2014/main" id="{B93AEF19-4070-4554-8E2C-405149E91868}"/>
            </a:ext>
          </a:extLst>
        </xdr:cNvPr>
        <xdr:cNvSpPr/>
      </xdr:nvSpPr>
      <xdr:spPr>
        <a:xfrm>
          <a:off x="933450" y="4914899"/>
          <a:ext cx="1552575" cy="4667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Balance</a:t>
          </a:r>
          <a:r>
            <a:rPr lang="es-MX" sz="1100" baseline="0">
              <a:solidFill>
                <a:schemeClr val="accent1"/>
              </a:solidFill>
              <a:latin typeface="Courier New" panose="02070309020205020404" pitchFamily="49" charset="0"/>
              <a:cs typeface="Courier New" panose="02070309020205020404" pitchFamily="49" charset="0"/>
            </a:rPr>
            <a:t> General Incial</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3</xdr:col>
      <xdr:colOff>342900</xdr:colOff>
      <xdr:row>25</xdr:row>
      <xdr:rowOff>19050</xdr:rowOff>
    </xdr:from>
    <xdr:to>
      <xdr:col>5</xdr:col>
      <xdr:colOff>238125</xdr:colOff>
      <xdr:row>27</xdr:row>
      <xdr:rowOff>104775</xdr:rowOff>
    </xdr:to>
    <xdr:sp macro="" textlink="">
      <xdr:nvSpPr>
        <xdr:cNvPr id="9" name="Rectángulo: esquinas redondeadas 8">
          <a:hlinkClick xmlns:r="http://schemas.openxmlformats.org/officeDocument/2006/relationships" r:id="rId8"/>
          <a:extLst>
            <a:ext uri="{FF2B5EF4-FFF2-40B4-BE49-F238E27FC236}">
              <a16:creationId xmlns:a16="http://schemas.microsoft.com/office/drawing/2014/main" id="{379D3307-489B-4980-9E67-629947E68CE6}"/>
            </a:ext>
          </a:extLst>
        </xdr:cNvPr>
        <xdr:cNvSpPr/>
      </xdr:nvSpPr>
      <xdr:spPr>
        <a:xfrm>
          <a:off x="2628900" y="4914900"/>
          <a:ext cx="1419225" cy="4667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Estado</a:t>
          </a:r>
          <a:r>
            <a:rPr lang="es-MX" sz="1100" baseline="0">
              <a:solidFill>
                <a:schemeClr val="accent1"/>
              </a:solidFill>
              <a:latin typeface="Courier New" panose="02070309020205020404" pitchFamily="49" charset="0"/>
              <a:cs typeface="Courier New" panose="02070309020205020404" pitchFamily="49" charset="0"/>
            </a:rPr>
            <a:t> De Resultados</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5</xdr:col>
      <xdr:colOff>342900</xdr:colOff>
      <xdr:row>25</xdr:row>
      <xdr:rowOff>95250</xdr:rowOff>
    </xdr:from>
    <xdr:to>
      <xdr:col>7</xdr:col>
      <xdr:colOff>238125</xdr:colOff>
      <xdr:row>27</xdr:row>
      <xdr:rowOff>9525</xdr:rowOff>
    </xdr:to>
    <xdr:sp macro="" textlink="">
      <xdr:nvSpPr>
        <xdr:cNvPr id="10" name="Rectángulo: esquinas redondeadas 9">
          <a:hlinkClick xmlns:r="http://schemas.openxmlformats.org/officeDocument/2006/relationships" r:id="rId9"/>
          <a:extLst>
            <a:ext uri="{FF2B5EF4-FFF2-40B4-BE49-F238E27FC236}">
              <a16:creationId xmlns:a16="http://schemas.microsoft.com/office/drawing/2014/main" id="{8310C358-B5C2-4865-9EBA-AE691E5A1603}"/>
            </a:ext>
          </a:extLst>
        </xdr:cNvPr>
        <xdr:cNvSpPr/>
      </xdr:nvSpPr>
      <xdr:spPr>
        <a:xfrm>
          <a:off x="4152900" y="499110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FNE</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2</xdr:col>
      <xdr:colOff>276225</xdr:colOff>
      <xdr:row>28</xdr:row>
      <xdr:rowOff>0</xdr:rowOff>
    </xdr:from>
    <xdr:to>
      <xdr:col>4</xdr:col>
      <xdr:colOff>257175</xdr:colOff>
      <xdr:row>29</xdr:row>
      <xdr:rowOff>104775</xdr:rowOff>
    </xdr:to>
    <xdr:sp macro="" textlink="">
      <xdr:nvSpPr>
        <xdr:cNvPr id="11" name="Rectángulo: esquinas redondeadas 10">
          <a:hlinkClick xmlns:r="http://schemas.openxmlformats.org/officeDocument/2006/relationships" r:id="rId10"/>
          <a:extLst>
            <a:ext uri="{FF2B5EF4-FFF2-40B4-BE49-F238E27FC236}">
              <a16:creationId xmlns:a16="http://schemas.microsoft.com/office/drawing/2014/main" id="{9FD1D41D-BC82-47A0-A10D-DDA67A42BE9D}"/>
            </a:ext>
          </a:extLst>
        </xdr:cNvPr>
        <xdr:cNvSpPr/>
      </xdr:nvSpPr>
      <xdr:spPr>
        <a:xfrm>
          <a:off x="1800225" y="5467350"/>
          <a:ext cx="1504950"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Balance</a:t>
          </a:r>
          <a:r>
            <a:rPr lang="es-MX" sz="1100" baseline="0">
              <a:solidFill>
                <a:schemeClr val="accent1"/>
              </a:solidFill>
              <a:latin typeface="Courier New" panose="02070309020205020404" pitchFamily="49" charset="0"/>
              <a:cs typeface="Courier New" panose="02070309020205020404" pitchFamily="49" charset="0"/>
            </a:rPr>
            <a:t> General</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4</xdr:col>
      <xdr:colOff>342900</xdr:colOff>
      <xdr:row>27</xdr:row>
      <xdr:rowOff>161925</xdr:rowOff>
    </xdr:from>
    <xdr:to>
      <xdr:col>6</xdr:col>
      <xdr:colOff>381000</xdr:colOff>
      <xdr:row>30</xdr:row>
      <xdr:rowOff>104775</xdr:rowOff>
    </xdr:to>
    <xdr:sp macro="" textlink="">
      <xdr:nvSpPr>
        <xdr:cNvPr id="12" name="Rectángulo: esquinas redondeadas 11">
          <a:hlinkClick xmlns:r="http://schemas.openxmlformats.org/officeDocument/2006/relationships" r:id="rId11"/>
          <a:extLst>
            <a:ext uri="{FF2B5EF4-FFF2-40B4-BE49-F238E27FC236}">
              <a16:creationId xmlns:a16="http://schemas.microsoft.com/office/drawing/2014/main" id="{59F35A11-057E-43CC-96AA-BAB48B16B25F}"/>
            </a:ext>
          </a:extLst>
        </xdr:cNvPr>
        <xdr:cNvSpPr/>
      </xdr:nvSpPr>
      <xdr:spPr>
        <a:xfrm>
          <a:off x="3390900" y="5438775"/>
          <a:ext cx="1562100" cy="5143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Métodos</a:t>
          </a:r>
          <a:r>
            <a:rPr lang="es-MX" sz="1100" baseline="0">
              <a:solidFill>
                <a:schemeClr val="accent1"/>
              </a:solidFill>
              <a:latin typeface="Courier New" panose="02070309020205020404" pitchFamily="49" charset="0"/>
              <a:cs typeface="Courier New" panose="02070309020205020404" pitchFamily="49" charset="0"/>
            </a:rPr>
            <a:t> Evaluación</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3</xdr:col>
      <xdr:colOff>333375</xdr:colOff>
      <xdr:row>31</xdr:row>
      <xdr:rowOff>9525</xdr:rowOff>
    </xdr:from>
    <xdr:to>
      <xdr:col>5</xdr:col>
      <xdr:colOff>466725</xdr:colOff>
      <xdr:row>32</xdr:row>
      <xdr:rowOff>114300</xdr:rowOff>
    </xdr:to>
    <xdr:sp macro="" textlink="">
      <xdr:nvSpPr>
        <xdr:cNvPr id="13" name="Rectángulo: esquinas redondeadas 12">
          <a:hlinkClick xmlns:r="http://schemas.openxmlformats.org/officeDocument/2006/relationships" r:id="rId12"/>
          <a:extLst>
            <a:ext uri="{FF2B5EF4-FFF2-40B4-BE49-F238E27FC236}">
              <a16:creationId xmlns:a16="http://schemas.microsoft.com/office/drawing/2014/main" id="{DBF45E5F-65D5-468C-8094-C6F447E70DAD}"/>
            </a:ext>
          </a:extLst>
        </xdr:cNvPr>
        <xdr:cNvSpPr/>
      </xdr:nvSpPr>
      <xdr:spPr>
        <a:xfrm>
          <a:off x="2619375" y="6048375"/>
          <a:ext cx="1657350"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Punto</a:t>
          </a:r>
          <a:r>
            <a:rPr lang="es-MX" sz="1100" baseline="0">
              <a:solidFill>
                <a:schemeClr val="accent1"/>
              </a:solidFill>
              <a:latin typeface="Courier New" panose="02070309020205020404" pitchFamily="49" charset="0"/>
              <a:cs typeface="Courier New" panose="02070309020205020404" pitchFamily="49" charset="0"/>
            </a:rPr>
            <a:t> Equilibrio</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9525</xdr:colOff>
      <xdr:row>10</xdr:row>
      <xdr:rowOff>0</xdr:rowOff>
    </xdr:from>
    <xdr:to>
      <xdr:col>10</xdr:col>
      <xdr:colOff>752475</xdr:colOff>
      <xdr:row>16</xdr:row>
      <xdr:rowOff>180975</xdr:rowOff>
    </xdr:to>
    <xdr:sp macro="" textlink="">
      <xdr:nvSpPr>
        <xdr:cNvPr id="2" name="CuadroTexto 1">
          <a:extLst>
            <a:ext uri="{FF2B5EF4-FFF2-40B4-BE49-F238E27FC236}">
              <a16:creationId xmlns:a16="http://schemas.microsoft.com/office/drawing/2014/main" id="{4632992D-9B1F-4201-B002-8C101DB2AAAC}"/>
            </a:ext>
          </a:extLst>
        </xdr:cNvPr>
        <xdr:cNvSpPr txBox="1"/>
      </xdr:nvSpPr>
      <xdr:spPr>
        <a:xfrm>
          <a:off x="9525" y="1981200"/>
          <a:ext cx="8362950" cy="1323975"/>
        </a:xfrm>
        <a:prstGeom prst="rect">
          <a:avLst/>
        </a:prstGeom>
        <a:solidFill>
          <a:schemeClr val="accent5">
            <a:lumMod val="40000"/>
            <a:lumOff val="60000"/>
            <a:alpha val="85098"/>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MX" sz="1100" b="0" i="0" baseline="0">
              <a:solidFill>
                <a:schemeClr val="dk1"/>
              </a:solidFill>
              <a:effectLst/>
              <a:latin typeface="Courier New" panose="02070309020205020404" pitchFamily="49" charset="0"/>
              <a:ea typeface="+mn-ea"/>
              <a:cs typeface="Courier New" panose="02070309020205020404" pitchFamily="49" charset="0"/>
            </a:rPr>
            <a:t>Este método te permitirá determinar el tiempo, en años y fracciones de año que se requiere para recuperar la inversión inicial de un proyecto. </a:t>
          </a:r>
          <a:br>
            <a:rPr lang="es-MX" sz="1100" b="0" i="0" baseline="0">
              <a:solidFill>
                <a:schemeClr val="dk1"/>
              </a:solidFill>
              <a:effectLst/>
              <a:latin typeface="Courier New" panose="02070309020205020404" pitchFamily="49" charset="0"/>
              <a:ea typeface="+mn-ea"/>
              <a:cs typeface="Courier New" panose="02070309020205020404" pitchFamily="49" charset="0"/>
            </a:rPr>
          </a:br>
          <a:r>
            <a:rPr lang="es-MX" sz="1100" b="0" i="0" baseline="0">
              <a:solidFill>
                <a:schemeClr val="dk1"/>
              </a:solidFill>
              <a:effectLst/>
              <a:latin typeface="Courier New" panose="02070309020205020404" pitchFamily="49" charset="0"/>
              <a:ea typeface="+mn-ea"/>
              <a:cs typeface="Courier New" panose="02070309020205020404" pitchFamily="49" charset="0"/>
            </a:rPr>
            <a:t>El método consiste en sumar los flujos netos de efectivo hasta encontrar el valor de la inversión inicial del proyecto.</a:t>
          </a:r>
        </a:p>
        <a:p>
          <a:pPr marL="0" marR="0" lvl="0" indent="0" defTabSz="914400" eaLnBrk="1" fontAlgn="auto" latinLnBrk="0" hangingPunct="1">
            <a:lnSpc>
              <a:spcPct val="100000"/>
            </a:lnSpc>
            <a:spcBef>
              <a:spcPts val="0"/>
            </a:spcBef>
            <a:spcAft>
              <a:spcPts val="0"/>
            </a:spcAft>
            <a:buClrTx/>
            <a:buSzTx/>
            <a:buFontTx/>
            <a:buNone/>
            <a:tabLst/>
            <a:defRPr/>
          </a:pPr>
          <a:endParaRPr lang="es-MX" sz="1100" b="0" i="0" baseline="0">
            <a:solidFill>
              <a:schemeClr val="dk1"/>
            </a:solidFill>
            <a:effectLst/>
            <a:latin typeface="Courier New" panose="02070309020205020404" pitchFamily="49" charset="0"/>
            <a:ea typeface="+mn-ea"/>
            <a:cs typeface="Courier New" panose="02070309020205020404" pitchFamily="49"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100" b="1" i="0" baseline="0">
              <a:solidFill>
                <a:schemeClr val="dk1"/>
              </a:solidFill>
              <a:effectLst/>
              <a:latin typeface="Courier New" panose="02070309020205020404" pitchFamily="49" charset="0"/>
              <a:ea typeface="+mn-ea"/>
              <a:cs typeface="Courier New" panose="02070309020205020404" pitchFamily="49" charset="0"/>
            </a:rPr>
            <a:t>Criterio de decisión:</a:t>
          </a:r>
          <a:br>
            <a:rPr lang="es-MX" sz="1100" b="0" i="0" baseline="0">
              <a:solidFill>
                <a:schemeClr val="dk1"/>
              </a:solidFill>
              <a:effectLst/>
              <a:latin typeface="Courier New" panose="02070309020205020404" pitchFamily="49" charset="0"/>
              <a:ea typeface="+mn-ea"/>
              <a:cs typeface="Courier New" panose="02070309020205020404" pitchFamily="49" charset="0"/>
            </a:rPr>
          </a:br>
          <a:r>
            <a:rPr lang="es-MX" sz="1100" b="0" i="0" baseline="0">
              <a:solidFill>
                <a:schemeClr val="dk1"/>
              </a:solidFill>
              <a:effectLst/>
              <a:latin typeface="Courier New" panose="02070309020205020404" pitchFamily="49" charset="0"/>
              <a:ea typeface="+mn-ea"/>
              <a:cs typeface="Courier New" panose="02070309020205020404" pitchFamily="49" charset="0"/>
            </a:rPr>
            <a:t>Si el resultado es menor que el periodo establecido por la empresa el proyecto debe aceptarse, de lo contrario debe rechazarse.</a:t>
          </a:r>
        </a:p>
        <a:p>
          <a:pPr marL="0" marR="0" lvl="0" indent="0" defTabSz="914400" eaLnBrk="1" fontAlgn="auto" latinLnBrk="0" hangingPunct="1">
            <a:lnSpc>
              <a:spcPct val="100000"/>
            </a:lnSpc>
            <a:spcBef>
              <a:spcPts val="0"/>
            </a:spcBef>
            <a:spcAft>
              <a:spcPts val="0"/>
            </a:spcAft>
            <a:buClrTx/>
            <a:buSzTx/>
            <a:buFontTx/>
            <a:buNone/>
            <a:tabLst/>
            <a:defRPr/>
          </a:pPr>
          <a:endParaRPr lang="es-MX" sz="1400" b="0" i="0" baseline="0">
            <a:solidFill>
              <a:schemeClr val="dk1"/>
            </a:solidFill>
            <a:effectLst/>
            <a:latin typeface="Calibri" panose="020F0502020204030204" pitchFamily="34" charset="0"/>
            <a:ea typeface="+mn-ea"/>
            <a:cs typeface="Calibri" panose="020F0502020204030204" pitchFamily="34" charset="0"/>
          </a:endParaRPr>
        </a:p>
      </xdr:txBody>
    </xdr:sp>
    <xdr:clientData/>
  </xdr:twoCellAnchor>
  <xdr:twoCellAnchor>
    <xdr:from>
      <xdr:col>0</xdr:col>
      <xdr:colOff>0</xdr:colOff>
      <xdr:row>19</xdr:row>
      <xdr:rowOff>0</xdr:rowOff>
    </xdr:from>
    <xdr:to>
      <xdr:col>10</xdr:col>
      <xdr:colOff>752475</xdr:colOff>
      <xdr:row>26</xdr:row>
      <xdr:rowOff>85725</xdr:rowOff>
    </xdr:to>
    <xdr:sp macro="" textlink="">
      <xdr:nvSpPr>
        <xdr:cNvPr id="3" name="CuadroTexto 2">
          <a:extLst>
            <a:ext uri="{FF2B5EF4-FFF2-40B4-BE49-F238E27FC236}">
              <a16:creationId xmlns:a16="http://schemas.microsoft.com/office/drawing/2014/main" id="{8D961975-058B-4197-9B69-02DEDD1CDB7F}"/>
            </a:ext>
          </a:extLst>
        </xdr:cNvPr>
        <xdr:cNvSpPr txBox="1"/>
      </xdr:nvSpPr>
      <xdr:spPr>
        <a:xfrm>
          <a:off x="0" y="3705225"/>
          <a:ext cx="8372475" cy="1419225"/>
        </a:xfrm>
        <a:prstGeom prst="rect">
          <a:avLst/>
        </a:prstGeom>
        <a:solidFill>
          <a:schemeClr val="accent1">
            <a:lumMod val="40000"/>
            <a:lumOff val="60000"/>
            <a:alpha val="85098"/>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MX" sz="1100" b="0" i="0" baseline="0">
              <a:solidFill>
                <a:schemeClr val="dk1"/>
              </a:solidFill>
              <a:effectLst/>
              <a:latin typeface="Courier New" panose="02070309020205020404" pitchFamily="49" charset="0"/>
              <a:ea typeface="+mn-ea"/>
              <a:cs typeface="Courier New" panose="02070309020205020404" pitchFamily="49" charset="0"/>
            </a:rPr>
            <a:t>Al igual que en el método anterior este método te permitirá determinar en qué tiempo vamos a recuperar la inversión inicial del proyecto, pero a partir de la suma del valor presente. Consiste en sumar el valor presente de los flujos hasta encontrar el valor de la inversión inicial requerida por el proyecto.</a:t>
          </a:r>
        </a:p>
        <a:p>
          <a:pPr marL="0" marR="0" lvl="0" indent="0" defTabSz="914400" eaLnBrk="1" fontAlgn="auto" latinLnBrk="0" hangingPunct="1">
            <a:lnSpc>
              <a:spcPct val="100000"/>
            </a:lnSpc>
            <a:spcBef>
              <a:spcPts val="0"/>
            </a:spcBef>
            <a:spcAft>
              <a:spcPts val="0"/>
            </a:spcAft>
            <a:buClrTx/>
            <a:buSzTx/>
            <a:buFontTx/>
            <a:buNone/>
            <a:tabLst/>
            <a:defRPr/>
          </a:pPr>
          <a:endParaRPr lang="es-MX" sz="1100" b="0" i="0" baseline="0">
            <a:solidFill>
              <a:schemeClr val="dk1"/>
            </a:solidFill>
            <a:effectLst/>
            <a:latin typeface="Courier New" panose="02070309020205020404" pitchFamily="49" charset="0"/>
            <a:ea typeface="+mn-ea"/>
            <a:cs typeface="Courier New" panose="02070309020205020404" pitchFamily="49"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100" b="1" i="0" baseline="0">
              <a:solidFill>
                <a:schemeClr val="dk1"/>
              </a:solidFill>
              <a:effectLst/>
              <a:latin typeface="Courier New" panose="02070309020205020404" pitchFamily="49" charset="0"/>
              <a:ea typeface="+mn-ea"/>
              <a:cs typeface="Courier New" panose="02070309020205020404" pitchFamily="49" charset="0"/>
            </a:rPr>
            <a:t>Criterio de decisión</a:t>
          </a:r>
          <a:br>
            <a:rPr lang="es-MX" sz="1100" b="0" i="0" baseline="0">
              <a:solidFill>
                <a:schemeClr val="dk1"/>
              </a:solidFill>
              <a:effectLst/>
              <a:latin typeface="Courier New" panose="02070309020205020404" pitchFamily="49" charset="0"/>
              <a:ea typeface="+mn-ea"/>
              <a:cs typeface="Courier New" panose="02070309020205020404" pitchFamily="49" charset="0"/>
            </a:rPr>
          </a:br>
          <a:r>
            <a:rPr lang="es-MX" sz="1100" b="0" i="0" baseline="0">
              <a:solidFill>
                <a:schemeClr val="dk1"/>
              </a:solidFill>
              <a:effectLst/>
              <a:latin typeface="Courier New" panose="02070309020205020404" pitchFamily="49" charset="0"/>
              <a:ea typeface="+mn-ea"/>
              <a:cs typeface="Courier New" panose="02070309020205020404" pitchFamily="49" charset="0"/>
            </a:rPr>
            <a:t>Si el periodo de recuperación de la inversión descontado es menor que el periodo de recuperación establecido por la empresa, el proyecto debe aprobarse, de lo contrario debe rechazarse. </a:t>
          </a:r>
          <a:br>
            <a:rPr lang="es-MX" sz="1100" b="0" i="0" baseline="0">
              <a:solidFill>
                <a:schemeClr val="dk1"/>
              </a:solidFill>
              <a:effectLst/>
              <a:latin typeface="Courier New" panose="02070309020205020404" pitchFamily="49" charset="0"/>
              <a:ea typeface="+mn-ea"/>
              <a:cs typeface="Courier New" panose="02070309020205020404" pitchFamily="49" charset="0"/>
            </a:rPr>
          </a:br>
          <a:endParaRPr lang="es-MX" sz="1100" b="0" i="0" baseline="0">
            <a:solidFill>
              <a:schemeClr val="dk1"/>
            </a:solidFill>
            <a:effectLst/>
            <a:latin typeface="Courier New" panose="02070309020205020404" pitchFamily="49" charset="0"/>
            <a:ea typeface="+mn-ea"/>
            <a:cs typeface="Courier New" panose="02070309020205020404" pitchFamily="49" charset="0"/>
          </a:endParaRPr>
        </a:p>
        <a:p>
          <a:pPr marL="0" marR="0" lvl="0" indent="0" defTabSz="914400" eaLnBrk="1" fontAlgn="auto" latinLnBrk="0" hangingPunct="1">
            <a:lnSpc>
              <a:spcPct val="100000"/>
            </a:lnSpc>
            <a:spcBef>
              <a:spcPts val="0"/>
            </a:spcBef>
            <a:spcAft>
              <a:spcPts val="0"/>
            </a:spcAft>
            <a:buClrTx/>
            <a:buSzTx/>
            <a:buFontTx/>
            <a:buNone/>
            <a:tabLst/>
            <a:defRPr/>
          </a:pPr>
          <a:br>
            <a:rPr lang="es-MX" sz="1400" b="0" i="0" baseline="0">
              <a:solidFill>
                <a:schemeClr val="dk1"/>
              </a:solidFill>
              <a:effectLst/>
              <a:latin typeface="Calibri" panose="020F0502020204030204" pitchFamily="34" charset="0"/>
              <a:ea typeface="+mn-ea"/>
              <a:cs typeface="Calibri" panose="020F0502020204030204" pitchFamily="34" charset="0"/>
            </a:rPr>
          </a:br>
          <a:endParaRPr lang="es-MX" sz="1400" b="0" i="0" baseline="0">
            <a:solidFill>
              <a:schemeClr val="dk1"/>
            </a:solidFill>
            <a:effectLst/>
            <a:latin typeface="Calibri" panose="020F0502020204030204" pitchFamily="34" charset="0"/>
            <a:ea typeface="+mn-ea"/>
            <a:cs typeface="Calibri" panose="020F0502020204030204" pitchFamily="34" charset="0"/>
          </a:endParaRPr>
        </a:p>
      </xdr:txBody>
    </xdr:sp>
    <xdr:clientData/>
  </xdr:twoCellAnchor>
  <xdr:twoCellAnchor>
    <xdr:from>
      <xdr:col>0</xdr:col>
      <xdr:colOff>0</xdr:colOff>
      <xdr:row>28</xdr:row>
      <xdr:rowOff>0</xdr:rowOff>
    </xdr:from>
    <xdr:to>
      <xdr:col>10</xdr:col>
      <xdr:colOff>742950</xdr:colOff>
      <xdr:row>32</xdr:row>
      <xdr:rowOff>19049</xdr:rowOff>
    </xdr:to>
    <xdr:sp macro="" textlink="">
      <xdr:nvSpPr>
        <xdr:cNvPr id="4" name="CuadroTexto 3">
          <a:extLst>
            <a:ext uri="{FF2B5EF4-FFF2-40B4-BE49-F238E27FC236}">
              <a16:creationId xmlns:a16="http://schemas.microsoft.com/office/drawing/2014/main" id="{802A76E2-5FBE-4EA9-8804-972AC5D90C97}"/>
            </a:ext>
          </a:extLst>
        </xdr:cNvPr>
        <xdr:cNvSpPr txBox="1"/>
      </xdr:nvSpPr>
      <xdr:spPr>
        <a:xfrm>
          <a:off x="0" y="5429250"/>
          <a:ext cx="8362950" cy="781049"/>
        </a:xfrm>
        <a:prstGeom prst="rect">
          <a:avLst/>
        </a:prstGeom>
        <a:solidFill>
          <a:schemeClr val="accent1">
            <a:lumMod val="40000"/>
            <a:lumOff val="60000"/>
            <a:alpha val="85098"/>
          </a:schemeClr>
        </a:solidFill>
        <a:ln w="9525" cmpd="sng">
          <a:solidFill>
            <a:schemeClr val="accent1">
              <a:lumMod val="60000"/>
              <a:lumOff val="4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MX" sz="1100" b="0" i="0" baseline="0">
              <a:solidFill>
                <a:schemeClr val="dk1"/>
              </a:solidFill>
              <a:effectLst/>
              <a:latin typeface="Courier New" panose="02070309020205020404" pitchFamily="49" charset="0"/>
              <a:ea typeface="+mn-ea"/>
              <a:cs typeface="Courier New" panose="02070309020205020404" pitchFamily="49" charset="0"/>
            </a:rPr>
            <a:t>La tasa de rendimiento contable es un criterio de selección de inversiones no financiero que se puede definir como el cociente entre el beneficio medio después de impuestos y el importe de la inversión realizada. Hay que tener en cuenta que la tasa de rendimiento contable no toma en consideración el valor del dinero en el tiempo.</a:t>
          </a:r>
          <a:br>
            <a:rPr lang="es-MX" sz="1100" b="0" i="0" baseline="0">
              <a:solidFill>
                <a:schemeClr val="dk1"/>
              </a:solidFill>
              <a:effectLst/>
              <a:latin typeface="Courier New" panose="02070309020205020404" pitchFamily="49" charset="0"/>
              <a:ea typeface="+mn-ea"/>
              <a:cs typeface="Courier New" panose="02070309020205020404" pitchFamily="49" charset="0"/>
            </a:rPr>
          </a:br>
          <a:endParaRPr lang="es-MX" sz="1100" b="0" i="0" baseline="0">
            <a:solidFill>
              <a:schemeClr val="dk1"/>
            </a:solidFill>
            <a:effectLst/>
            <a:latin typeface="Courier New" panose="02070309020205020404" pitchFamily="49" charset="0"/>
            <a:ea typeface="+mn-ea"/>
            <a:cs typeface="Courier New" panose="02070309020205020404" pitchFamily="49" charset="0"/>
          </a:endParaRPr>
        </a:p>
        <a:p>
          <a:pPr marL="0" marR="0" lvl="0" indent="0" defTabSz="914400" eaLnBrk="1" fontAlgn="auto" latinLnBrk="0" hangingPunct="1">
            <a:lnSpc>
              <a:spcPct val="100000"/>
            </a:lnSpc>
            <a:spcBef>
              <a:spcPts val="0"/>
            </a:spcBef>
            <a:spcAft>
              <a:spcPts val="0"/>
            </a:spcAft>
            <a:buClrTx/>
            <a:buSzTx/>
            <a:buFontTx/>
            <a:buNone/>
            <a:tabLst/>
            <a:defRPr/>
          </a:pPr>
          <a:br>
            <a:rPr lang="es-MX" sz="1400" b="0" i="0" baseline="0">
              <a:solidFill>
                <a:schemeClr val="dk1"/>
              </a:solidFill>
              <a:effectLst/>
              <a:latin typeface="Calibri" panose="020F0502020204030204" pitchFamily="34" charset="0"/>
              <a:ea typeface="+mn-ea"/>
              <a:cs typeface="Calibri" panose="020F0502020204030204" pitchFamily="34" charset="0"/>
            </a:rPr>
          </a:br>
          <a:endParaRPr lang="es-MX" sz="1400" b="0" i="0" baseline="0">
            <a:solidFill>
              <a:schemeClr val="dk1"/>
            </a:solidFill>
            <a:effectLst/>
            <a:latin typeface="Calibri" panose="020F0502020204030204" pitchFamily="34" charset="0"/>
            <a:ea typeface="+mn-ea"/>
            <a:cs typeface="Calibri" panose="020F0502020204030204" pitchFamily="34" charset="0"/>
          </a:endParaRPr>
        </a:p>
      </xdr:txBody>
    </xdr:sp>
    <xdr:clientData/>
  </xdr:twoCellAnchor>
  <xdr:twoCellAnchor>
    <xdr:from>
      <xdr:col>0</xdr:col>
      <xdr:colOff>0</xdr:colOff>
      <xdr:row>34</xdr:row>
      <xdr:rowOff>19050</xdr:rowOff>
    </xdr:from>
    <xdr:to>
      <xdr:col>11</xdr:col>
      <xdr:colOff>9525</xdr:colOff>
      <xdr:row>41</xdr:row>
      <xdr:rowOff>76199</xdr:rowOff>
    </xdr:to>
    <xdr:sp macro="" textlink="">
      <xdr:nvSpPr>
        <xdr:cNvPr id="5" name="CuadroTexto 4">
          <a:extLst>
            <a:ext uri="{FF2B5EF4-FFF2-40B4-BE49-F238E27FC236}">
              <a16:creationId xmlns:a16="http://schemas.microsoft.com/office/drawing/2014/main" id="{770856B2-7F0E-4055-A16A-836B6045CC9E}"/>
            </a:ext>
          </a:extLst>
        </xdr:cNvPr>
        <xdr:cNvSpPr txBox="1"/>
      </xdr:nvSpPr>
      <xdr:spPr>
        <a:xfrm>
          <a:off x="0" y="6600825"/>
          <a:ext cx="8391525" cy="1390649"/>
        </a:xfrm>
        <a:prstGeom prst="rect">
          <a:avLst/>
        </a:prstGeom>
        <a:solidFill>
          <a:schemeClr val="accent5">
            <a:lumMod val="40000"/>
            <a:lumOff val="60000"/>
            <a:alpha val="54902"/>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MX" sz="1100" b="0" i="0" baseline="0">
              <a:solidFill>
                <a:schemeClr val="dk1"/>
              </a:solidFill>
              <a:effectLst/>
              <a:latin typeface="Courier New" panose="02070309020205020404" pitchFamily="49" charset="0"/>
              <a:ea typeface="+mn-ea"/>
              <a:cs typeface="Courier New" panose="02070309020205020404" pitchFamily="49" charset="0"/>
            </a:rPr>
            <a:t>Por ultimo en el grupo de métodos que utilizan como criterio </a:t>
          </a:r>
          <a:r>
            <a:rPr lang="es-MX" sz="1100" b="1" i="0" baseline="0">
              <a:solidFill>
                <a:schemeClr val="dk1"/>
              </a:solidFill>
              <a:effectLst/>
              <a:latin typeface="Courier New" panose="02070309020205020404" pitchFamily="49" charset="0"/>
              <a:ea typeface="+mn-ea"/>
              <a:cs typeface="Courier New" panose="02070309020205020404" pitchFamily="49" charset="0"/>
            </a:rPr>
            <a:t>el valor de dinero en el tiempo </a:t>
          </a:r>
          <a:r>
            <a:rPr lang="es-MX" sz="1100" b="0" i="0" baseline="0">
              <a:solidFill>
                <a:schemeClr val="dk1"/>
              </a:solidFill>
              <a:effectLst/>
              <a:latin typeface="Courier New" panose="02070309020205020404" pitchFamily="49" charset="0"/>
              <a:ea typeface="+mn-ea"/>
              <a:cs typeface="Courier New" panose="02070309020205020404" pitchFamily="49" charset="0"/>
            </a:rPr>
            <a:t>tendrás</a:t>
          </a:r>
        </a:p>
        <a:p>
          <a:pPr marL="0" marR="0" lvl="0" indent="0" defTabSz="914400" eaLnBrk="1" fontAlgn="auto" latinLnBrk="0" hangingPunct="1">
            <a:lnSpc>
              <a:spcPct val="100000"/>
            </a:lnSpc>
            <a:spcBef>
              <a:spcPts val="0"/>
            </a:spcBef>
            <a:spcAft>
              <a:spcPts val="0"/>
            </a:spcAft>
            <a:buClrTx/>
            <a:buSzTx/>
            <a:buFontTx/>
            <a:buNone/>
            <a:tabLst/>
            <a:defRPr/>
          </a:pPr>
          <a:endParaRPr lang="es-MX" sz="1100" b="1" i="0" baseline="0">
            <a:solidFill>
              <a:schemeClr val="dk1"/>
            </a:solidFill>
            <a:effectLst/>
            <a:latin typeface="Courier New" panose="02070309020205020404" pitchFamily="49" charset="0"/>
            <a:ea typeface="+mn-ea"/>
            <a:cs typeface="Courier New" panose="02070309020205020404" pitchFamily="49"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100">
              <a:effectLst/>
              <a:latin typeface="Courier New" panose="02070309020205020404" pitchFamily="49" charset="0"/>
              <a:cs typeface="Courier New" panose="02070309020205020404" pitchFamily="49" charset="0"/>
            </a:rPr>
            <a:t>* Índice de rentabilidad (IR) o razón de beneficio/costo</a:t>
          </a:r>
        </a:p>
        <a:p>
          <a:pPr marL="0" marR="0" lvl="0" indent="0" defTabSz="914400" eaLnBrk="1" fontAlgn="auto" latinLnBrk="0" hangingPunct="1">
            <a:lnSpc>
              <a:spcPct val="100000"/>
            </a:lnSpc>
            <a:spcBef>
              <a:spcPts val="0"/>
            </a:spcBef>
            <a:spcAft>
              <a:spcPts val="0"/>
            </a:spcAft>
            <a:buClrTx/>
            <a:buSzTx/>
            <a:buFontTx/>
            <a:buNone/>
            <a:tabLst/>
            <a:defRPr/>
          </a:pPr>
          <a:br>
            <a:rPr lang="es-MX" sz="1100">
              <a:effectLst/>
              <a:latin typeface="Courier New" panose="02070309020205020404" pitchFamily="49" charset="0"/>
              <a:cs typeface="Courier New" panose="02070309020205020404" pitchFamily="49" charset="0"/>
            </a:rPr>
          </a:br>
          <a:r>
            <a:rPr lang="es-MX" sz="1100">
              <a:effectLst/>
              <a:latin typeface="Courier New" panose="02070309020205020404" pitchFamily="49" charset="0"/>
              <a:cs typeface="Courier New" panose="02070309020205020404" pitchFamily="49" charset="0"/>
            </a:rPr>
            <a:t>* Valor presente neto (VPN)</a:t>
          </a:r>
        </a:p>
        <a:p>
          <a:pPr marL="0" marR="0" lvl="0" indent="0" defTabSz="914400" eaLnBrk="1" fontAlgn="auto" latinLnBrk="0" hangingPunct="1">
            <a:lnSpc>
              <a:spcPct val="100000"/>
            </a:lnSpc>
            <a:spcBef>
              <a:spcPts val="0"/>
            </a:spcBef>
            <a:spcAft>
              <a:spcPts val="0"/>
            </a:spcAft>
            <a:buClrTx/>
            <a:buSzTx/>
            <a:buFontTx/>
            <a:buNone/>
            <a:tabLst/>
            <a:defRPr/>
          </a:pPr>
          <a:br>
            <a:rPr lang="es-MX" sz="1100">
              <a:effectLst/>
              <a:latin typeface="Courier New" panose="02070309020205020404" pitchFamily="49" charset="0"/>
              <a:cs typeface="Courier New" panose="02070309020205020404" pitchFamily="49" charset="0"/>
            </a:rPr>
          </a:br>
          <a:r>
            <a:rPr lang="es-MX" sz="1100">
              <a:effectLst/>
              <a:latin typeface="Courier New" panose="02070309020205020404" pitchFamily="49" charset="0"/>
              <a:cs typeface="Courier New" panose="02070309020205020404" pitchFamily="49" charset="0"/>
            </a:rPr>
            <a:t>* Tasa interna de retorno (TIR).</a:t>
          </a:r>
        </a:p>
        <a:p>
          <a:endParaRPr lang="es-MX" sz="1100"/>
        </a:p>
      </xdr:txBody>
    </xdr:sp>
    <xdr:clientData/>
  </xdr:twoCellAnchor>
  <xdr:twoCellAnchor>
    <xdr:from>
      <xdr:col>0</xdr:col>
      <xdr:colOff>0</xdr:colOff>
      <xdr:row>43</xdr:row>
      <xdr:rowOff>19050</xdr:rowOff>
    </xdr:from>
    <xdr:to>
      <xdr:col>11</xdr:col>
      <xdr:colOff>0</xdr:colOff>
      <xdr:row>61</xdr:row>
      <xdr:rowOff>9525</xdr:rowOff>
    </xdr:to>
    <xdr:sp macro="" textlink="">
      <xdr:nvSpPr>
        <xdr:cNvPr id="6" name="CuadroTexto 5">
          <a:extLst>
            <a:ext uri="{FF2B5EF4-FFF2-40B4-BE49-F238E27FC236}">
              <a16:creationId xmlns:a16="http://schemas.microsoft.com/office/drawing/2014/main" id="{B61C86D6-EA1B-4393-A7A1-841CA730C819}"/>
            </a:ext>
          </a:extLst>
        </xdr:cNvPr>
        <xdr:cNvSpPr txBox="1"/>
      </xdr:nvSpPr>
      <xdr:spPr>
        <a:xfrm>
          <a:off x="0" y="8324850"/>
          <a:ext cx="8382000" cy="3419475"/>
        </a:xfrm>
        <a:prstGeom prst="rect">
          <a:avLst/>
        </a:prstGeom>
        <a:solidFill>
          <a:schemeClr val="accent5">
            <a:lumMod val="40000"/>
            <a:lumOff val="60000"/>
            <a:alpha val="85098"/>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MX" sz="1100" b="0" i="0" baseline="0">
              <a:solidFill>
                <a:schemeClr val="dk1"/>
              </a:solidFill>
              <a:effectLst/>
              <a:latin typeface="Courier New" panose="02070309020205020404" pitchFamily="49" charset="0"/>
              <a:ea typeface="+mn-ea"/>
              <a:cs typeface="Courier New" panose="02070309020205020404" pitchFamily="49" charset="0"/>
            </a:rPr>
            <a:t>El valor presente neto (VPN) de una inversión es la diferencia entre el valor de mercado de la inversión y su costo. Es una medida de la cantidad de valor que se crea o se agrega en el momento de llevar a cabo una inversión.</a:t>
          </a:r>
          <a:br>
            <a:rPr lang="es-MX" sz="1100" b="0" i="0" baseline="0">
              <a:solidFill>
                <a:schemeClr val="dk1"/>
              </a:solidFill>
              <a:effectLst/>
              <a:latin typeface="Courier New" panose="02070309020205020404" pitchFamily="49" charset="0"/>
              <a:ea typeface="+mn-ea"/>
              <a:cs typeface="Courier New" panose="02070309020205020404" pitchFamily="49" charset="0"/>
            </a:rPr>
          </a:br>
          <a:br>
            <a:rPr lang="es-MX" sz="1100" b="0" i="0" baseline="0">
              <a:solidFill>
                <a:schemeClr val="dk1"/>
              </a:solidFill>
              <a:effectLst/>
              <a:latin typeface="Courier New" panose="02070309020205020404" pitchFamily="49" charset="0"/>
              <a:ea typeface="+mn-ea"/>
              <a:cs typeface="Courier New" panose="02070309020205020404" pitchFamily="49" charset="0"/>
            </a:rPr>
          </a:br>
          <a:r>
            <a:rPr lang="es-MX" sz="1100" b="0" i="0" baseline="0">
              <a:solidFill>
                <a:schemeClr val="dk1"/>
              </a:solidFill>
              <a:effectLst/>
              <a:latin typeface="Courier New" panose="02070309020205020404" pitchFamily="49" charset="0"/>
              <a:ea typeface="+mn-ea"/>
              <a:cs typeface="Courier New" panose="02070309020205020404" pitchFamily="49" charset="0"/>
            </a:rPr>
            <a:t>El criterio básico de evaluación que utiliza este método es la comparación entre el valor presente de los flujos netos de efectivo que se espera genere el proyecto y la inversión inicial que se requiere para el proyecto. El valor presente de los flujos netos de efectivo es equivalente al valor de mercado del proyecto que comparado con el costo de implementación permite conocer la ganancia o pérdida que se obtendría al llevarlo a cabo.</a:t>
          </a:r>
          <a:br>
            <a:rPr lang="es-MX" sz="1100" b="0" i="0" baseline="0">
              <a:solidFill>
                <a:schemeClr val="dk1"/>
              </a:solidFill>
              <a:effectLst/>
              <a:latin typeface="Courier New" panose="02070309020205020404" pitchFamily="49" charset="0"/>
              <a:ea typeface="+mn-ea"/>
              <a:cs typeface="Courier New" panose="02070309020205020404" pitchFamily="49" charset="0"/>
            </a:rPr>
          </a:br>
          <a:br>
            <a:rPr lang="es-MX" sz="1100" b="0" i="0" baseline="0">
              <a:solidFill>
                <a:schemeClr val="dk1"/>
              </a:solidFill>
              <a:effectLst/>
              <a:latin typeface="Courier New" panose="02070309020205020404" pitchFamily="49" charset="0"/>
              <a:ea typeface="+mn-ea"/>
              <a:cs typeface="Courier New" panose="02070309020205020404" pitchFamily="49" charset="0"/>
            </a:rPr>
          </a:br>
          <a:r>
            <a:rPr lang="es-MX" sz="1100" b="0" i="0" baseline="0">
              <a:solidFill>
                <a:schemeClr val="dk1"/>
              </a:solidFill>
              <a:effectLst/>
              <a:latin typeface="Courier New" panose="02070309020205020404" pitchFamily="49" charset="0"/>
              <a:ea typeface="+mn-ea"/>
              <a:cs typeface="Courier New" panose="02070309020205020404" pitchFamily="49" charset="0"/>
            </a:rPr>
            <a:t>La fórmula general para obtener el valor presente neto (VPN) de un proyecto es la siguiente:</a:t>
          </a:r>
        </a:p>
        <a:p>
          <a:pPr marL="0" marR="0" lvl="0" indent="0" defTabSz="914400" eaLnBrk="1" fontAlgn="auto" latinLnBrk="0" hangingPunct="1">
            <a:lnSpc>
              <a:spcPct val="100000"/>
            </a:lnSpc>
            <a:spcBef>
              <a:spcPts val="0"/>
            </a:spcBef>
            <a:spcAft>
              <a:spcPts val="0"/>
            </a:spcAft>
            <a:buClrTx/>
            <a:buSzTx/>
            <a:buFontTx/>
            <a:buNone/>
            <a:tabLst/>
            <a:defRPr/>
          </a:pPr>
          <a:endParaRPr lang="es-MX" sz="1100" b="0" i="0" baseline="0">
            <a:solidFill>
              <a:schemeClr val="dk1"/>
            </a:solidFill>
            <a:effectLst/>
            <a:latin typeface="Courier New" panose="02070309020205020404" pitchFamily="49" charset="0"/>
            <a:ea typeface="+mn-ea"/>
            <a:cs typeface="Courier New" panose="02070309020205020404" pitchFamily="49"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b="0" i="0" baseline="0">
            <a:solidFill>
              <a:schemeClr val="dk1"/>
            </a:solidFill>
            <a:effectLst/>
            <a:latin typeface="Courier New" panose="02070309020205020404" pitchFamily="49" charset="0"/>
            <a:ea typeface="+mn-ea"/>
            <a:cs typeface="Courier New" panose="02070309020205020404" pitchFamily="49"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b="0" i="0" baseline="0">
            <a:solidFill>
              <a:schemeClr val="dk1"/>
            </a:solidFill>
            <a:effectLst/>
            <a:latin typeface="Courier New" panose="02070309020205020404" pitchFamily="49" charset="0"/>
            <a:ea typeface="+mn-ea"/>
            <a:cs typeface="Courier New" panose="02070309020205020404" pitchFamily="49"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100" b="1" i="0" baseline="0">
              <a:solidFill>
                <a:schemeClr val="dk1"/>
              </a:solidFill>
              <a:effectLst/>
              <a:latin typeface="Courier New" panose="02070309020205020404" pitchFamily="49" charset="0"/>
              <a:ea typeface="+mn-ea"/>
              <a:cs typeface="Courier New" panose="02070309020205020404" pitchFamily="49" charset="0"/>
            </a:rPr>
            <a:t>Criterios de decisión:</a:t>
          </a:r>
          <a:br>
            <a:rPr lang="es-MX" sz="1100" b="0" i="0" baseline="0">
              <a:solidFill>
                <a:schemeClr val="dk1"/>
              </a:solidFill>
              <a:effectLst/>
              <a:latin typeface="Courier New" panose="02070309020205020404" pitchFamily="49" charset="0"/>
              <a:ea typeface="+mn-ea"/>
              <a:cs typeface="Courier New" panose="02070309020205020404" pitchFamily="49" charset="0"/>
            </a:rPr>
          </a:br>
          <a:br>
            <a:rPr lang="es-MX" sz="1100" b="0" i="0" baseline="0">
              <a:solidFill>
                <a:schemeClr val="dk1"/>
              </a:solidFill>
              <a:effectLst/>
              <a:latin typeface="Courier New" panose="02070309020205020404" pitchFamily="49" charset="0"/>
              <a:ea typeface="+mn-ea"/>
              <a:cs typeface="Courier New" panose="02070309020205020404" pitchFamily="49" charset="0"/>
            </a:rPr>
          </a:br>
          <a:r>
            <a:rPr lang="es-MX" sz="1100" b="0" i="0" baseline="0">
              <a:solidFill>
                <a:schemeClr val="dk1"/>
              </a:solidFill>
              <a:effectLst/>
              <a:latin typeface="Courier New" panose="02070309020205020404" pitchFamily="49" charset="0"/>
              <a:ea typeface="+mn-ea"/>
              <a:cs typeface="Courier New" panose="02070309020205020404" pitchFamily="49" charset="0"/>
            </a:rPr>
            <a:t>Si el VPN &gt; 0 el proyecto debe aceptarse porque crea valor para la empresa </a:t>
          </a:r>
          <a:br>
            <a:rPr lang="es-MX" sz="1100" b="0" i="0" baseline="0">
              <a:solidFill>
                <a:schemeClr val="dk1"/>
              </a:solidFill>
              <a:effectLst/>
              <a:latin typeface="Courier New" panose="02070309020205020404" pitchFamily="49" charset="0"/>
              <a:ea typeface="+mn-ea"/>
              <a:cs typeface="Courier New" panose="02070309020205020404" pitchFamily="49" charset="0"/>
            </a:rPr>
          </a:br>
          <a:r>
            <a:rPr lang="es-MX" sz="1100" b="0" i="0" baseline="0">
              <a:solidFill>
                <a:schemeClr val="dk1"/>
              </a:solidFill>
              <a:effectLst/>
              <a:latin typeface="Courier New" panose="02070309020205020404" pitchFamily="49" charset="0"/>
              <a:ea typeface="+mn-ea"/>
              <a:cs typeface="Courier New" panose="02070309020205020404" pitchFamily="49" charset="0"/>
            </a:rPr>
            <a:t>Si el VPN &lt; 0 el proyecto se debe rechazar porque no crea valor para la empresa </a:t>
          </a:r>
          <a:br>
            <a:rPr lang="es-MX" sz="1100" b="0" i="0" baseline="0">
              <a:solidFill>
                <a:schemeClr val="dk1"/>
              </a:solidFill>
              <a:effectLst/>
              <a:latin typeface="Courier New" panose="02070309020205020404" pitchFamily="49" charset="0"/>
              <a:ea typeface="+mn-ea"/>
              <a:cs typeface="Courier New" panose="02070309020205020404" pitchFamily="49" charset="0"/>
            </a:rPr>
          </a:br>
          <a:r>
            <a:rPr lang="es-MX" sz="1100" b="0" i="0" baseline="0">
              <a:solidFill>
                <a:schemeClr val="dk1"/>
              </a:solidFill>
              <a:effectLst/>
              <a:latin typeface="Courier New" panose="02070309020205020404" pitchFamily="49" charset="0"/>
              <a:ea typeface="+mn-ea"/>
              <a:cs typeface="Courier New" panose="02070309020205020404" pitchFamily="49" charset="0"/>
            </a:rPr>
            <a:t>Si el VPN = 0 es indiferente aceptar o rechazar el proyecto porque no crea ni destruye su valor para la empresa </a:t>
          </a:r>
        </a:p>
        <a:p>
          <a:pPr marL="0" marR="0" lvl="0" indent="0" defTabSz="914400" eaLnBrk="1" fontAlgn="auto" latinLnBrk="0" hangingPunct="1">
            <a:lnSpc>
              <a:spcPct val="100000"/>
            </a:lnSpc>
            <a:spcBef>
              <a:spcPts val="0"/>
            </a:spcBef>
            <a:spcAft>
              <a:spcPts val="0"/>
            </a:spcAft>
            <a:buClrTx/>
            <a:buSzTx/>
            <a:buFontTx/>
            <a:buNone/>
            <a:tabLst/>
            <a:defRPr/>
          </a:pPr>
          <a:endParaRPr lang="es-MX" sz="1400" b="0" i="0" baseline="0">
            <a:solidFill>
              <a:schemeClr val="dk1"/>
            </a:solidFill>
            <a:effectLst/>
            <a:latin typeface="Calibri" panose="020F0502020204030204" pitchFamily="34" charset="0"/>
            <a:ea typeface="+mn-ea"/>
            <a:cs typeface="Calibri"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400" b="0" i="0" baseline="0">
            <a:solidFill>
              <a:schemeClr val="dk1"/>
            </a:solidFill>
            <a:effectLst/>
            <a:latin typeface="Calibri" panose="020F0502020204030204" pitchFamily="34" charset="0"/>
            <a:ea typeface="+mn-ea"/>
            <a:cs typeface="Calibri"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400" b="0" i="0" baseline="0">
            <a:solidFill>
              <a:schemeClr val="dk1"/>
            </a:solidFill>
            <a:effectLst/>
            <a:latin typeface="Calibri" panose="020F0502020204030204" pitchFamily="34" charset="0"/>
            <a:ea typeface="+mn-ea"/>
            <a:cs typeface="Calibri" panose="020F0502020204030204" pitchFamily="34" charset="0"/>
          </a:endParaRPr>
        </a:p>
      </xdr:txBody>
    </xdr:sp>
    <xdr:clientData/>
  </xdr:twoCellAnchor>
  <xdr:twoCellAnchor editAs="oneCell">
    <xdr:from>
      <xdr:col>2</xdr:col>
      <xdr:colOff>123825</xdr:colOff>
      <xdr:row>52</xdr:row>
      <xdr:rowOff>123825</xdr:rowOff>
    </xdr:from>
    <xdr:to>
      <xdr:col>6</xdr:col>
      <xdr:colOff>675825</xdr:colOff>
      <xdr:row>54</xdr:row>
      <xdr:rowOff>122551</xdr:rowOff>
    </xdr:to>
    <xdr:pic>
      <xdr:nvPicPr>
        <xdr:cNvPr id="7" name="Imagen 6" descr="Recorte de pantalla">
          <a:extLst>
            <a:ext uri="{FF2B5EF4-FFF2-40B4-BE49-F238E27FC236}">
              <a16:creationId xmlns:a16="http://schemas.microsoft.com/office/drawing/2014/main" id="{01451CF7-F285-43EB-9D54-9C616E699AE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47825" y="10144125"/>
          <a:ext cx="3600000" cy="379726"/>
        </a:xfrm>
        <a:prstGeom prst="rect">
          <a:avLst/>
        </a:prstGeom>
      </xdr:spPr>
    </xdr:pic>
    <xdr:clientData/>
  </xdr:twoCellAnchor>
  <xdr:twoCellAnchor>
    <xdr:from>
      <xdr:col>0</xdr:col>
      <xdr:colOff>0</xdr:colOff>
      <xdr:row>63</xdr:row>
      <xdr:rowOff>0</xdr:rowOff>
    </xdr:from>
    <xdr:to>
      <xdr:col>10</xdr:col>
      <xdr:colOff>742950</xdr:colOff>
      <xdr:row>78</xdr:row>
      <xdr:rowOff>19050</xdr:rowOff>
    </xdr:to>
    <xdr:sp macro="" textlink="">
      <xdr:nvSpPr>
        <xdr:cNvPr id="8" name="CuadroTexto 7">
          <a:extLst>
            <a:ext uri="{FF2B5EF4-FFF2-40B4-BE49-F238E27FC236}">
              <a16:creationId xmlns:a16="http://schemas.microsoft.com/office/drawing/2014/main" id="{0C3523E2-EC3A-4139-BEC7-97AAC3488711}"/>
            </a:ext>
          </a:extLst>
        </xdr:cNvPr>
        <xdr:cNvSpPr txBox="1"/>
      </xdr:nvSpPr>
      <xdr:spPr>
        <a:xfrm>
          <a:off x="0" y="12125325"/>
          <a:ext cx="8362950" cy="2876550"/>
        </a:xfrm>
        <a:prstGeom prst="rect">
          <a:avLst/>
        </a:prstGeom>
        <a:solidFill>
          <a:schemeClr val="accent5">
            <a:lumMod val="40000"/>
            <a:lumOff val="60000"/>
            <a:alpha val="85098"/>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MX" sz="1200" b="0" i="0" baseline="0">
              <a:solidFill>
                <a:schemeClr val="dk1"/>
              </a:solidFill>
              <a:effectLst/>
              <a:latin typeface="Calibri" panose="020F0502020204030204" pitchFamily="34" charset="0"/>
              <a:ea typeface="+mn-ea"/>
              <a:cs typeface="Calibri" panose="020F0502020204030204" pitchFamily="34" charset="0"/>
            </a:rPr>
            <a:t>La TIR es la tasa de descuento que hace que el valor presente de los flujos netos de efectivo generados por un proyecto sea igual a la inversión inicial del mismo; es decir es la tasa que provoca que el VPN de un proyecto sea igual a cero. La TIR es una tasa de rendimiento interna porque depende únicamente de los flujos de efectivo que genera el proyecto.</a:t>
          </a:r>
          <a:br>
            <a:rPr lang="es-MX" sz="1200" b="0" i="0" baseline="0">
              <a:solidFill>
                <a:schemeClr val="dk1"/>
              </a:solidFill>
              <a:effectLst/>
              <a:latin typeface="Calibri" panose="020F0502020204030204" pitchFamily="34" charset="0"/>
              <a:ea typeface="+mn-ea"/>
              <a:cs typeface="Calibri" panose="020F0502020204030204" pitchFamily="34" charset="0"/>
            </a:rPr>
          </a:br>
          <a:br>
            <a:rPr lang="es-MX" sz="1200" b="0" i="0" baseline="0">
              <a:solidFill>
                <a:schemeClr val="dk1"/>
              </a:solidFill>
              <a:effectLst/>
              <a:latin typeface="Calibri" panose="020F0502020204030204" pitchFamily="34" charset="0"/>
              <a:ea typeface="+mn-ea"/>
              <a:cs typeface="Calibri" panose="020F0502020204030204" pitchFamily="34" charset="0"/>
            </a:rPr>
          </a:br>
          <a:r>
            <a:rPr lang="es-MX" sz="1200" b="0" i="0" baseline="0">
              <a:solidFill>
                <a:schemeClr val="dk1"/>
              </a:solidFill>
              <a:effectLst/>
              <a:latin typeface="Calibri" panose="020F0502020204030204" pitchFamily="34" charset="0"/>
              <a:ea typeface="+mn-ea"/>
              <a:cs typeface="Calibri" panose="020F0502020204030204" pitchFamily="34" charset="0"/>
            </a:rPr>
            <a:t>La TIR se despeja de la siguiente ecuación:</a:t>
          </a:r>
        </a:p>
        <a:p>
          <a:pPr marL="0" marR="0" lvl="0" indent="0" defTabSz="914400" eaLnBrk="1" fontAlgn="auto" latinLnBrk="0" hangingPunct="1">
            <a:lnSpc>
              <a:spcPct val="100000"/>
            </a:lnSpc>
            <a:spcBef>
              <a:spcPts val="0"/>
            </a:spcBef>
            <a:spcAft>
              <a:spcPts val="0"/>
            </a:spcAft>
            <a:buClrTx/>
            <a:buSzTx/>
            <a:buFontTx/>
            <a:buNone/>
            <a:tabLst/>
            <a:defRPr/>
          </a:pPr>
          <a:endParaRPr lang="es-MX" sz="1200" b="0" i="0" baseline="0">
            <a:solidFill>
              <a:schemeClr val="dk1"/>
            </a:solidFill>
            <a:effectLst/>
            <a:latin typeface="Calibri" panose="020F0502020204030204" pitchFamily="34" charset="0"/>
            <a:ea typeface="+mn-ea"/>
            <a:cs typeface="Calibri"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200" b="0" i="0" baseline="0">
            <a:solidFill>
              <a:schemeClr val="dk1"/>
            </a:solidFill>
            <a:effectLst/>
            <a:latin typeface="Calibri" panose="020F0502020204030204" pitchFamily="34" charset="0"/>
            <a:ea typeface="+mn-ea"/>
            <a:cs typeface="Calibri"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200" b="1" i="0" baseline="0">
              <a:solidFill>
                <a:schemeClr val="dk1"/>
              </a:solidFill>
              <a:effectLst/>
              <a:latin typeface="Calibri" panose="020F0502020204030204" pitchFamily="34" charset="0"/>
              <a:ea typeface="+mn-ea"/>
              <a:cs typeface="Calibri" panose="020F0502020204030204" pitchFamily="34" charset="0"/>
            </a:rPr>
            <a:t>Criterios de decisión: </a:t>
          </a:r>
          <a:br>
            <a:rPr lang="es-MX" sz="1200" b="0" i="0" baseline="0">
              <a:solidFill>
                <a:schemeClr val="dk1"/>
              </a:solidFill>
              <a:effectLst/>
              <a:latin typeface="Calibri" panose="020F0502020204030204" pitchFamily="34" charset="0"/>
              <a:ea typeface="+mn-ea"/>
              <a:cs typeface="Calibri" panose="020F0502020204030204" pitchFamily="34" charset="0"/>
            </a:rPr>
          </a:br>
          <a:br>
            <a:rPr lang="es-MX" sz="1200" b="0" i="0" baseline="0">
              <a:solidFill>
                <a:schemeClr val="dk1"/>
              </a:solidFill>
              <a:effectLst/>
              <a:latin typeface="Calibri" panose="020F0502020204030204" pitchFamily="34" charset="0"/>
              <a:ea typeface="+mn-ea"/>
              <a:cs typeface="Calibri" panose="020F0502020204030204" pitchFamily="34" charset="0"/>
            </a:rPr>
          </a:br>
          <a:r>
            <a:rPr lang="es-MX" sz="1200" b="0" i="0" baseline="0">
              <a:solidFill>
                <a:schemeClr val="dk1"/>
              </a:solidFill>
              <a:effectLst/>
              <a:latin typeface="Calibri" panose="020F0502020204030204" pitchFamily="34" charset="0"/>
              <a:ea typeface="+mn-ea"/>
              <a:cs typeface="Calibri" panose="020F0502020204030204" pitchFamily="34" charset="0"/>
            </a:rPr>
            <a:t>Si TIR &gt; k el proyecto debe aceptarse porque genera flujos de efectivo superiores a los que se requieren para financiarlo (habrá ganancias)</a:t>
          </a:r>
          <a:br>
            <a:rPr lang="es-MX" sz="1200" b="0" i="0" baseline="0">
              <a:solidFill>
                <a:schemeClr val="dk1"/>
              </a:solidFill>
              <a:effectLst/>
              <a:latin typeface="Calibri" panose="020F0502020204030204" pitchFamily="34" charset="0"/>
              <a:ea typeface="+mn-ea"/>
              <a:cs typeface="Calibri" panose="020F0502020204030204" pitchFamily="34" charset="0"/>
            </a:rPr>
          </a:br>
          <a:r>
            <a:rPr lang="es-MX" sz="1200" b="0" i="0" baseline="0">
              <a:solidFill>
                <a:schemeClr val="dk1"/>
              </a:solidFill>
              <a:effectLst/>
              <a:latin typeface="Calibri" panose="020F0502020204030204" pitchFamily="34" charset="0"/>
              <a:ea typeface="+mn-ea"/>
              <a:cs typeface="Calibri" panose="020F0502020204030204" pitchFamily="34" charset="0"/>
            </a:rPr>
            <a:t>Si TIR &lt; k el proyecto se debe rechazar porque los flujos de efectivo que genera son inferiores a los que se requieren para financiarlo (hay perdidas)</a:t>
          </a:r>
          <a:br>
            <a:rPr lang="es-MX" sz="1200" b="0" i="0" baseline="0">
              <a:solidFill>
                <a:schemeClr val="dk1"/>
              </a:solidFill>
              <a:effectLst/>
              <a:latin typeface="Calibri" panose="020F0502020204030204" pitchFamily="34" charset="0"/>
              <a:ea typeface="+mn-ea"/>
              <a:cs typeface="Calibri" panose="020F0502020204030204" pitchFamily="34" charset="0"/>
            </a:rPr>
          </a:br>
          <a:r>
            <a:rPr lang="es-MX" sz="1200" b="0" i="0" baseline="0">
              <a:solidFill>
                <a:schemeClr val="dk1"/>
              </a:solidFill>
              <a:effectLst/>
              <a:latin typeface="Calibri" panose="020F0502020204030204" pitchFamily="34" charset="0"/>
              <a:ea typeface="+mn-ea"/>
              <a:cs typeface="Calibri" panose="020F0502020204030204" pitchFamily="34" charset="0"/>
            </a:rPr>
            <a:t>Si TIR = k es indiferente aceptarlo o rechazarlo porque el rendimiento que genere el proyecto será exactamente igual al costo de capital.</a:t>
          </a:r>
        </a:p>
        <a:p>
          <a:pPr marL="0" marR="0" lvl="0" indent="0" defTabSz="914400" eaLnBrk="1" fontAlgn="auto" latinLnBrk="0" hangingPunct="1">
            <a:lnSpc>
              <a:spcPct val="100000"/>
            </a:lnSpc>
            <a:spcBef>
              <a:spcPts val="0"/>
            </a:spcBef>
            <a:spcAft>
              <a:spcPts val="0"/>
            </a:spcAft>
            <a:buClrTx/>
            <a:buSzTx/>
            <a:buFontTx/>
            <a:buNone/>
            <a:tabLst/>
            <a:defRPr/>
          </a:pPr>
          <a:endParaRPr lang="es-MX" sz="1200" b="0" i="0" baseline="0">
            <a:solidFill>
              <a:schemeClr val="dk1"/>
            </a:solidFill>
            <a:effectLst/>
            <a:latin typeface="Calibri" panose="020F0502020204030204" pitchFamily="34" charset="0"/>
            <a:ea typeface="+mn-ea"/>
            <a:cs typeface="Calibri"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200" b="0" i="0" baseline="0">
            <a:solidFill>
              <a:schemeClr val="dk1"/>
            </a:solidFill>
            <a:effectLst/>
            <a:latin typeface="Calibri" panose="020F0502020204030204" pitchFamily="34" charset="0"/>
            <a:ea typeface="+mn-ea"/>
            <a:cs typeface="Calibri"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200" b="0" i="0" baseline="0">
            <a:solidFill>
              <a:schemeClr val="dk1"/>
            </a:solidFill>
            <a:effectLst/>
            <a:latin typeface="Calibri" panose="020F0502020204030204" pitchFamily="34" charset="0"/>
            <a:ea typeface="+mn-ea"/>
            <a:cs typeface="Calibri"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200" b="0" i="0" baseline="0">
            <a:solidFill>
              <a:schemeClr val="dk1"/>
            </a:solidFill>
            <a:effectLst/>
            <a:latin typeface="Calibri" panose="020F0502020204030204" pitchFamily="34" charset="0"/>
            <a:ea typeface="+mn-ea"/>
            <a:cs typeface="Calibri" panose="020F0502020204030204" pitchFamily="34" charset="0"/>
          </a:endParaRPr>
        </a:p>
      </xdr:txBody>
    </xdr:sp>
    <xdr:clientData/>
  </xdr:twoCellAnchor>
  <xdr:twoCellAnchor editAs="oneCell">
    <xdr:from>
      <xdr:col>3</xdr:col>
      <xdr:colOff>333375</xdr:colOff>
      <xdr:row>68</xdr:row>
      <xdr:rowOff>28575</xdr:rowOff>
    </xdr:from>
    <xdr:to>
      <xdr:col>6</xdr:col>
      <xdr:colOff>567375</xdr:colOff>
      <xdr:row>70</xdr:row>
      <xdr:rowOff>71414</xdr:rowOff>
    </xdr:to>
    <xdr:pic>
      <xdr:nvPicPr>
        <xdr:cNvPr id="9" name="Imagen 8" descr="Recorte de pantalla">
          <a:extLst>
            <a:ext uri="{FF2B5EF4-FFF2-40B4-BE49-F238E27FC236}">
              <a16:creationId xmlns:a16="http://schemas.microsoft.com/office/drawing/2014/main" id="{F98AF8CE-1F86-48A5-ABF2-30CE1A7444E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19375" y="13106400"/>
          <a:ext cx="2520000" cy="423839"/>
        </a:xfrm>
        <a:prstGeom prst="rect">
          <a:avLst/>
        </a:prstGeom>
      </xdr:spPr>
    </xdr:pic>
    <xdr:clientData/>
  </xdr:twoCellAnchor>
  <xdr:twoCellAnchor>
    <xdr:from>
      <xdr:col>0</xdr:col>
      <xdr:colOff>0</xdr:colOff>
      <xdr:row>80</xdr:row>
      <xdr:rowOff>0</xdr:rowOff>
    </xdr:from>
    <xdr:to>
      <xdr:col>11</xdr:col>
      <xdr:colOff>9524</xdr:colOff>
      <xdr:row>95</xdr:row>
      <xdr:rowOff>9525</xdr:rowOff>
    </xdr:to>
    <mc:AlternateContent xmlns:mc="http://schemas.openxmlformats.org/markup-compatibility/2006" xmlns:a14="http://schemas.microsoft.com/office/drawing/2010/main">
      <mc:Choice Requires="a14">
        <xdr:sp macro="" textlink="">
          <xdr:nvSpPr>
            <xdr:cNvPr id="10" name="CuadroTexto 9">
              <a:extLst>
                <a:ext uri="{FF2B5EF4-FFF2-40B4-BE49-F238E27FC236}">
                  <a16:creationId xmlns:a16="http://schemas.microsoft.com/office/drawing/2014/main" id="{28693644-13A9-4A36-AC29-E145285C31EF}"/>
                </a:ext>
              </a:extLst>
            </xdr:cNvPr>
            <xdr:cNvSpPr txBox="1"/>
          </xdr:nvSpPr>
          <xdr:spPr>
            <a:xfrm>
              <a:off x="0" y="15373350"/>
              <a:ext cx="8391524" cy="2867025"/>
            </a:xfrm>
            <a:prstGeom prst="rect">
              <a:avLst/>
            </a:prstGeom>
            <a:solidFill>
              <a:schemeClr val="accent5">
                <a:lumMod val="40000"/>
                <a:lumOff val="60000"/>
                <a:alpha val="85098"/>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MX" sz="1100" b="0" i="0" baseline="0">
                  <a:solidFill>
                    <a:schemeClr val="dk1"/>
                  </a:solidFill>
                  <a:effectLst/>
                  <a:latin typeface="Courier New" panose="02070309020205020404" pitchFamily="49" charset="0"/>
                  <a:ea typeface="+mn-ea"/>
                  <a:cs typeface="Courier New" panose="02070309020205020404" pitchFamily="49" charset="0"/>
                </a:rPr>
                <a:t>El índice de rentabilidad se define como la razón existente entre la suma de los valores presente de los flujos netos de efectivo de un proyecto, descontados con la tasa de costo de capital k y la inversión inicial requerida </a:t>
              </a:r>
              <a:br>
                <a:rPr lang="es-MX" sz="1100" b="0" i="0" baseline="0">
                  <a:solidFill>
                    <a:schemeClr val="dk1"/>
                  </a:solidFill>
                  <a:effectLst/>
                  <a:latin typeface="Courier New" panose="02070309020205020404" pitchFamily="49" charset="0"/>
                  <a:ea typeface="+mn-ea"/>
                  <a:cs typeface="Courier New" panose="02070309020205020404" pitchFamily="49" charset="0"/>
                </a:rPr>
              </a:br>
              <a:br>
                <a:rPr lang="es-MX" sz="1100" b="0" i="0" baseline="0">
                  <a:solidFill>
                    <a:schemeClr val="dk1"/>
                  </a:solidFill>
                  <a:effectLst/>
                  <a:latin typeface="Courier New" panose="02070309020205020404" pitchFamily="49" charset="0"/>
                  <a:ea typeface="+mn-ea"/>
                  <a:cs typeface="Courier New" panose="02070309020205020404" pitchFamily="49" charset="0"/>
                </a:rPr>
              </a:br>
              <a:r>
                <a:rPr lang="es-MX" sz="1100" b="0" i="0" baseline="0">
                  <a:solidFill>
                    <a:schemeClr val="dk1"/>
                  </a:solidFill>
                  <a:effectLst/>
                  <a:latin typeface="Courier New" panose="02070309020205020404" pitchFamily="49" charset="0"/>
                  <a:ea typeface="+mn-ea"/>
                  <a:cs typeface="Courier New" panose="02070309020205020404" pitchFamily="49" charset="0"/>
                </a:rPr>
                <a:t>La fórmula general para obtener el índice de rentabilidad (IR) es:</a:t>
              </a:r>
            </a:p>
            <a:p>
              <a:pPr marL="0" marR="0" lvl="0" indent="0" defTabSz="914400" eaLnBrk="1" fontAlgn="auto" latinLnBrk="0" hangingPunct="1">
                <a:lnSpc>
                  <a:spcPct val="100000"/>
                </a:lnSpc>
                <a:spcBef>
                  <a:spcPts val="0"/>
                </a:spcBef>
                <a:spcAft>
                  <a:spcPts val="0"/>
                </a:spcAft>
                <a:buClrTx/>
                <a:buSzTx/>
                <a:buFontTx/>
                <a:buNone/>
                <a:tabLst/>
                <a:defRPr/>
              </a:pPr>
              <a:endParaRPr lang="es-MX" sz="1100" b="0" i="0" baseline="0">
                <a:solidFill>
                  <a:schemeClr val="dk1"/>
                </a:solidFill>
                <a:effectLst/>
                <a:latin typeface="Courier New" panose="02070309020205020404" pitchFamily="49" charset="0"/>
                <a:ea typeface="+mn-ea"/>
                <a:cs typeface="Courier New" panose="02070309020205020404" pitchFamily="49" charset="0"/>
              </a:endParaRPr>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100" b="0" i="0" baseline="0">
                        <a:solidFill>
                          <a:schemeClr val="dk1"/>
                        </a:solidFill>
                        <a:effectLst/>
                        <a:latin typeface="Cambria Math" panose="02040503050406030204" pitchFamily="18" charset="0"/>
                        <a:ea typeface="+mn-ea"/>
                        <a:cs typeface="Calibri" panose="020F0502020204030204" pitchFamily="34" charset="0"/>
                      </a:rPr>
                      <m:t>𝐼𝑅</m:t>
                    </m:r>
                    <m:r>
                      <a:rPr lang="es-MX" sz="1100" b="0" i="0" baseline="0">
                        <a:solidFill>
                          <a:schemeClr val="dk1"/>
                        </a:solidFill>
                        <a:effectLst/>
                        <a:latin typeface="Cambria Math" panose="02040503050406030204" pitchFamily="18" charset="0"/>
                        <a:ea typeface="+mn-ea"/>
                        <a:cs typeface="Calibri" panose="020F0502020204030204" pitchFamily="34" charset="0"/>
                      </a:rPr>
                      <m:t>= </m:t>
                    </m:r>
                    <m:r>
                      <a:rPr lang="es-MX" sz="1100" b="0" i="0" baseline="0">
                        <a:solidFill>
                          <a:schemeClr val="dk1"/>
                        </a:solidFill>
                        <a:effectLst/>
                        <a:latin typeface="Cambria Math" panose="02040503050406030204" pitchFamily="18" charset="0"/>
                        <a:ea typeface="+mn-ea"/>
                        <a:cs typeface="Calibri" panose="020F0502020204030204" pitchFamily="34" charset="0"/>
                      </a:rPr>
                      <m:t>𝑆𝑈𝑀𝐴</m:t>
                    </m:r>
                    <m:r>
                      <a:rPr lang="es-MX" sz="1100" b="0" i="0" baseline="0">
                        <a:solidFill>
                          <a:schemeClr val="dk1"/>
                        </a:solidFill>
                        <a:effectLst/>
                        <a:latin typeface="Cambria Math" panose="02040503050406030204" pitchFamily="18" charset="0"/>
                        <a:ea typeface="+mn-ea"/>
                        <a:cs typeface="Calibri" panose="020F0502020204030204" pitchFamily="34" charset="0"/>
                      </a:rPr>
                      <m:t> </m:t>
                    </m:r>
                    <m:r>
                      <a:rPr lang="es-MX" sz="1100" b="0" i="0" baseline="0">
                        <a:solidFill>
                          <a:schemeClr val="dk1"/>
                        </a:solidFill>
                        <a:effectLst/>
                        <a:latin typeface="Cambria Math" panose="02040503050406030204" pitchFamily="18" charset="0"/>
                        <a:ea typeface="+mn-ea"/>
                        <a:cs typeface="Calibri" panose="020F0502020204030204" pitchFamily="34" charset="0"/>
                      </a:rPr>
                      <m:t>𝐷𝐸𝐿</m:t>
                    </m:r>
                    <m:r>
                      <a:rPr lang="es-MX" sz="1100" b="0" i="0" baseline="0">
                        <a:solidFill>
                          <a:schemeClr val="dk1"/>
                        </a:solidFill>
                        <a:effectLst/>
                        <a:latin typeface="Cambria Math" panose="02040503050406030204" pitchFamily="18" charset="0"/>
                        <a:ea typeface="+mn-ea"/>
                        <a:cs typeface="Calibri" panose="020F0502020204030204" pitchFamily="34" charset="0"/>
                      </a:rPr>
                      <m:t> </m:t>
                    </m:r>
                    <m:r>
                      <a:rPr lang="es-MX" sz="1100" b="0" i="0" baseline="0">
                        <a:solidFill>
                          <a:schemeClr val="dk1"/>
                        </a:solidFill>
                        <a:effectLst/>
                        <a:latin typeface="Cambria Math" panose="02040503050406030204" pitchFamily="18" charset="0"/>
                        <a:ea typeface="+mn-ea"/>
                        <a:cs typeface="Calibri" panose="020F0502020204030204" pitchFamily="34" charset="0"/>
                      </a:rPr>
                      <m:t>𝑉𝐴𝐿𝑂𝑅</m:t>
                    </m:r>
                    <m:r>
                      <a:rPr lang="es-MX" sz="1100" b="0" i="0" baseline="0">
                        <a:solidFill>
                          <a:schemeClr val="dk1"/>
                        </a:solidFill>
                        <a:effectLst/>
                        <a:latin typeface="Cambria Math" panose="02040503050406030204" pitchFamily="18" charset="0"/>
                        <a:ea typeface="+mn-ea"/>
                        <a:cs typeface="Calibri" panose="020F0502020204030204" pitchFamily="34" charset="0"/>
                      </a:rPr>
                      <m:t> </m:t>
                    </m:r>
                    <m:r>
                      <a:rPr lang="es-MX" sz="1100" b="0" i="0" baseline="0">
                        <a:solidFill>
                          <a:schemeClr val="dk1"/>
                        </a:solidFill>
                        <a:effectLst/>
                        <a:latin typeface="Cambria Math" panose="02040503050406030204" pitchFamily="18" charset="0"/>
                        <a:ea typeface="+mn-ea"/>
                        <a:cs typeface="Calibri" panose="020F0502020204030204" pitchFamily="34" charset="0"/>
                      </a:rPr>
                      <m:t>𝑃𝑅𝐸𝑆𝐸𝑁𝑇𝐸</m:t>
                    </m:r>
                    <m:r>
                      <a:rPr lang="es-MX" sz="1100" b="0" i="0" baseline="0">
                        <a:solidFill>
                          <a:schemeClr val="dk1"/>
                        </a:solidFill>
                        <a:effectLst/>
                        <a:latin typeface="Cambria Math" panose="02040503050406030204" pitchFamily="18" charset="0"/>
                        <a:ea typeface="+mn-ea"/>
                        <a:cs typeface="Calibri" panose="020F0502020204030204" pitchFamily="34" charset="0"/>
                      </a:rPr>
                      <m:t> </m:t>
                    </m:r>
                    <m:r>
                      <a:rPr lang="es-MX" sz="1100" b="0" i="0" baseline="0">
                        <a:solidFill>
                          <a:schemeClr val="dk1"/>
                        </a:solidFill>
                        <a:effectLst/>
                        <a:latin typeface="Cambria Math" panose="02040503050406030204" pitchFamily="18" charset="0"/>
                        <a:ea typeface="+mn-ea"/>
                        <a:cs typeface="Calibri" panose="020F0502020204030204" pitchFamily="34" charset="0"/>
                      </a:rPr>
                      <m:t>𝐷𝐸</m:t>
                    </m:r>
                    <m:r>
                      <a:rPr lang="es-MX" sz="1100" b="0" i="0" baseline="0">
                        <a:solidFill>
                          <a:schemeClr val="dk1"/>
                        </a:solidFill>
                        <a:effectLst/>
                        <a:latin typeface="Cambria Math" panose="02040503050406030204" pitchFamily="18" charset="0"/>
                        <a:ea typeface="+mn-ea"/>
                        <a:cs typeface="Calibri" panose="020F0502020204030204" pitchFamily="34" charset="0"/>
                      </a:rPr>
                      <m:t> </m:t>
                    </m:r>
                    <m:r>
                      <a:rPr lang="es-MX" sz="1100" b="0" i="0" baseline="0">
                        <a:solidFill>
                          <a:schemeClr val="dk1"/>
                        </a:solidFill>
                        <a:effectLst/>
                        <a:latin typeface="Cambria Math" panose="02040503050406030204" pitchFamily="18" charset="0"/>
                        <a:ea typeface="+mn-ea"/>
                        <a:cs typeface="Calibri" panose="020F0502020204030204" pitchFamily="34" charset="0"/>
                      </a:rPr>
                      <m:t>𝐿𝑂𝑆</m:t>
                    </m:r>
                    <m:r>
                      <a:rPr lang="es-MX" sz="1100" b="0" i="0" baseline="0">
                        <a:solidFill>
                          <a:schemeClr val="dk1"/>
                        </a:solidFill>
                        <a:effectLst/>
                        <a:latin typeface="Cambria Math" panose="02040503050406030204" pitchFamily="18" charset="0"/>
                        <a:ea typeface="+mn-ea"/>
                        <a:cs typeface="Calibri" panose="020F0502020204030204" pitchFamily="34" charset="0"/>
                      </a:rPr>
                      <m:t> </m:t>
                    </m:r>
                    <m:r>
                      <a:rPr lang="es-MX" sz="1100" b="0" i="0" baseline="0">
                        <a:solidFill>
                          <a:schemeClr val="dk1"/>
                        </a:solidFill>
                        <a:effectLst/>
                        <a:latin typeface="Cambria Math" panose="02040503050406030204" pitchFamily="18" charset="0"/>
                        <a:ea typeface="+mn-ea"/>
                        <a:cs typeface="Calibri" panose="020F0502020204030204" pitchFamily="34" charset="0"/>
                      </a:rPr>
                      <m:t>𝐹𝐿𝑈𝐽𝑂𝑆</m:t>
                    </m:r>
                    <m:r>
                      <a:rPr lang="es-MX" sz="1100" b="0" i="0" baseline="0">
                        <a:solidFill>
                          <a:schemeClr val="dk1"/>
                        </a:solidFill>
                        <a:effectLst/>
                        <a:latin typeface="Cambria Math" panose="02040503050406030204" pitchFamily="18" charset="0"/>
                        <a:ea typeface="+mn-ea"/>
                        <a:cs typeface="Calibri" panose="020F0502020204030204" pitchFamily="34" charset="0"/>
                      </a:rPr>
                      <m:t> </m:t>
                    </m:r>
                    <m:r>
                      <a:rPr lang="es-MX" sz="1100" b="0" i="0" baseline="0">
                        <a:solidFill>
                          <a:schemeClr val="dk1"/>
                        </a:solidFill>
                        <a:effectLst/>
                        <a:latin typeface="Cambria Math" panose="02040503050406030204" pitchFamily="18" charset="0"/>
                        <a:ea typeface="+mn-ea"/>
                        <a:cs typeface="Calibri" panose="020F0502020204030204" pitchFamily="34" charset="0"/>
                      </a:rPr>
                      <m:t>𝐷𝐸</m:t>
                    </m:r>
                    <m:r>
                      <a:rPr lang="es-MX" sz="1100" b="0" i="0" baseline="0">
                        <a:solidFill>
                          <a:schemeClr val="dk1"/>
                        </a:solidFill>
                        <a:effectLst/>
                        <a:latin typeface="Cambria Math" panose="02040503050406030204" pitchFamily="18" charset="0"/>
                        <a:ea typeface="+mn-ea"/>
                        <a:cs typeface="Calibri" panose="020F0502020204030204" pitchFamily="34" charset="0"/>
                      </a:rPr>
                      <m:t> </m:t>
                    </m:r>
                    <m:r>
                      <a:rPr lang="es-MX" sz="1100" b="0" i="0" baseline="0">
                        <a:solidFill>
                          <a:schemeClr val="dk1"/>
                        </a:solidFill>
                        <a:effectLst/>
                        <a:latin typeface="Cambria Math" panose="02040503050406030204" pitchFamily="18" charset="0"/>
                        <a:ea typeface="+mn-ea"/>
                        <a:cs typeface="Calibri" panose="020F0502020204030204" pitchFamily="34" charset="0"/>
                      </a:rPr>
                      <m:t>𝐸𝐹𝐸𝐶𝑇𝐼𝑉𝑂</m:t>
                    </m:r>
                    <m:r>
                      <a:rPr lang="es-MX" sz="1100" b="0" i="0" baseline="0">
                        <a:solidFill>
                          <a:schemeClr val="dk1"/>
                        </a:solidFill>
                        <a:effectLst/>
                        <a:latin typeface="Cambria Math" panose="02040503050406030204" pitchFamily="18" charset="0"/>
                        <a:ea typeface="+mn-ea"/>
                        <a:cs typeface="Calibri" panose="020F0502020204030204" pitchFamily="34" charset="0"/>
                      </a:rPr>
                      <m:t> </m:t>
                    </m:r>
                    <m:r>
                      <a:rPr lang="es-MX" sz="1100" b="0" i="0" baseline="0">
                        <a:solidFill>
                          <a:schemeClr val="dk1"/>
                        </a:solidFill>
                        <a:effectLst/>
                        <a:latin typeface="Cambria Math" panose="02040503050406030204" pitchFamily="18" charset="0"/>
                        <a:ea typeface="+mn-ea"/>
                        <a:cs typeface="Calibri" panose="020F0502020204030204" pitchFamily="34" charset="0"/>
                      </a:rPr>
                      <m:t>𝑁𝐸𝑇𝑂</m:t>
                    </m:r>
                    <m:r>
                      <a:rPr lang="es-MX" sz="1100" b="0" i="0" baseline="0">
                        <a:solidFill>
                          <a:schemeClr val="dk1"/>
                        </a:solidFill>
                        <a:effectLst/>
                        <a:latin typeface="Cambria Math" panose="02040503050406030204" pitchFamily="18" charset="0"/>
                        <a:ea typeface="+mn-ea"/>
                        <a:cs typeface="Calibri" panose="020F0502020204030204" pitchFamily="34" charset="0"/>
                      </a:rPr>
                      <m:t> / </m:t>
                    </m:r>
                    <m:r>
                      <a:rPr lang="es-MX" sz="1100" b="0" i="0" baseline="0">
                        <a:solidFill>
                          <a:schemeClr val="dk1"/>
                        </a:solidFill>
                        <a:effectLst/>
                        <a:latin typeface="Cambria Math" panose="02040503050406030204" pitchFamily="18" charset="0"/>
                        <a:ea typeface="+mn-ea"/>
                        <a:cs typeface="Calibri" panose="020F0502020204030204" pitchFamily="34" charset="0"/>
                      </a:rPr>
                      <m:t>𝐼𝑁𝑉𝐸𝑅𝑆𝐼𝑂𝑁</m:t>
                    </m:r>
                    <m:r>
                      <a:rPr lang="es-MX" sz="1100" b="0" i="0" baseline="0">
                        <a:solidFill>
                          <a:schemeClr val="dk1"/>
                        </a:solidFill>
                        <a:effectLst/>
                        <a:latin typeface="Cambria Math" panose="02040503050406030204" pitchFamily="18" charset="0"/>
                        <a:ea typeface="+mn-ea"/>
                        <a:cs typeface="Calibri" panose="020F0502020204030204" pitchFamily="34" charset="0"/>
                      </a:rPr>
                      <m:t> </m:t>
                    </m:r>
                    <m:r>
                      <a:rPr lang="es-MX" sz="1100" b="0" i="0" baseline="0">
                        <a:solidFill>
                          <a:schemeClr val="dk1"/>
                        </a:solidFill>
                        <a:effectLst/>
                        <a:latin typeface="Cambria Math" panose="02040503050406030204" pitchFamily="18" charset="0"/>
                        <a:ea typeface="+mn-ea"/>
                        <a:cs typeface="Calibri" panose="020F0502020204030204" pitchFamily="34" charset="0"/>
                      </a:rPr>
                      <m:t>𝐼𝑁𝐼𝐶𝐼𝐴𝐿</m:t>
                    </m:r>
                  </m:oMath>
                </m:oMathPara>
              </a14:m>
              <a:br>
                <a:rPr lang="es-MX" sz="1100" b="0" i="0" baseline="0">
                  <a:solidFill>
                    <a:schemeClr val="dk1"/>
                  </a:solidFill>
                  <a:effectLst/>
                  <a:latin typeface="Courier New" panose="02070309020205020404" pitchFamily="49" charset="0"/>
                  <a:ea typeface="+mn-ea"/>
                  <a:cs typeface="Courier New" panose="02070309020205020404" pitchFamily="49" charset="0"/>
                </a:rPr>
              </a:br>
              <a:endParaRPr lang="es-MX" sz="1100" b="0" i="0" baseline="0">
                <a:solidFill>
                  <a:schemeClr val="dk1"/>
                </a:solidFill>
                <a:effectLst/>
                <a:latin typeface="Courier New" panose="02070309020205020404" pitchFamily="49" charset="0"/>
                <a:ea typeface="+mn-ea"/>
                <a:cs typeface="Courier New" panose="02070309020205020404" pitchFamily="49" charset="0"/>
              </a:endParaRPr>
            </a:p>
            <a:p>
              <a:pPr marL="0" marR="0" lvl="0" indent="0" defTabSz="914400" eaLnBrk="1" fontAlgn="auto" latinLnBrk="0" hangingPunct="1">
                <a:lnSpc>
                  <a:spcPct val="100000"/>
                </a:lnSpc>
                <a:spcBef>
                  <a:spcPts val="0"/>
                </a:spcBef>
                <a:spcAft>
                  <a:spcPts val="0"/>
                </a:spcAft>
                <a:buClrTx/>
                <a:buSzTx/>
                <a:buFontTx/>
                <a:buNone/>
                <a:tabLst/>
                <a:defRPr/>
              </a:pPr>
              <a:br>
                <a:rPr lang="es-MX" sz="1100" b="0" i="0" baseline="0">
                  <a:solidFill>
                    <a:schemeClr val="dk1"/>
                  </a:solidFill>
                  <a:effectLst/>
                  <a:latin typeface="Courier New" panose="02070309020205020404" pitchFamily="49" charset="0"/>
                  <a:ea typeface="+mn-ea"/>
                  <a:cs typeface="Courier New" panose="02070309020205020404" pitchFamily="49" charset="0"/>
                </a:rPr>
              </a:br>
              <a:r>
                <a:rPr lang="es-MX" sz="1100" b="0" i="0" baseline="0">
                  <a:solidFill>
                    <a:schemeClr val="dk1"/>
                  </a:solidFill>
                  <a:effectLst/>
                  <a:latin typeface="Courier New" panose="02070309020205020404" pitchFamily="49" charset="0"/>
                  <a:ea typeface="+mn-ea"/>
                  <a:cs typeface="Courier New" panose="02070309020205020404" pitchFamily="49" charset="0"/>
                </a:rPr>
                <a:t>El IR se puede interpretar como el valor presente o la rentabilidad obtenida por cada unidad monetaria invertida en el proyecto.</a:t>
              </a:r>
              <a:br>
                <a:rPr lang="es-MX" sz="1100" b="0" i="0" baseline="0">
                  <a:solidFill>
                    <a:schemeClr val="dk1"/>
                  </a:solidFill>
                  <a:effectLst/>
                  <a:latin typeface="Courier New" panose="02070309020205020404" pitchFamily="49" charset="0"/>
                  <a:ea typeface="+mn-ea"/>
                  <a:cs typeface="Courier New" panose="02070309020205020404" pitchFamily="49" charset="0"/>
                </a:rPr>
              </a:br>
              <a:br>
                <a:rPr lang="es-MX" sz="1100" b="0" i="0" baseline="0">
                  <a:solidFill>
                    <a:schemeClr val="dk1"/>
                  </a:solidFill>
                  <a:effectLst/>
                  <a:latin typeface="Courier New" panose="02070309020205020404" pitchFamily="49" charset="0"/>
                  <a:ea typeface="+mn-ea"/>
                  <a:cs typeface="Courier New" panose="02070309020205020404" pitchFamily="49" charset="0"/>
                </a:rPr>
              </a:br>
              <a:r>
                <a:rPr lang="es-MX" sz="1100" b="0" i="0" baseline="0">
                  <a:solidFill>
                    <a:schemeClr val="dk1"/>
                  </a:solidFill>
                  <a:effectLst/>
                  <a:latin typeface="Courier New" panose="02070309020205020404" pitchFamily="49" charset="0"/>
                  <a:ea typeface="+mn-ea"/>
                  <a:cs typeface="Courier New" panose="02070309020205020404" pitchFamily="49" charset="0"/>
                </a:rPr>
                <a:t>Criterios de decisión:</a:t>
              </a:r>
              <a:br>
                <a:rPr lang="es-MX" sz="1100" b="0" i="0" baseline="0">
                  <a:solidFill>
                    <a:schemeClr val="dk1"/>
                  </a:solidFill>
                  <a:effectLst/>
                  <a:latin typeface="Courier New" panose="02070309020205020404" pitchFamily="49" charset="0"/>
                  <a:ea typeface="+mn-ea"/>
                  <a:cs typeface="Courier New" panose="02070309020205020404" pitchFamily="49" charset="0"/>
                </a:rPr>
              </a:br>
              <a:br>
                <a:rPr lang="es-MX" sz="1100" b="0" i="0" baseline="0">
                  <a:solidFill>
                    <a:schemeClr val="dk1"/>
                  </a:solidFill>
                  <a:effectLst/>
                  <a:latin typeface="Courier New" panose="02070309020205020404" pitchFamily="49" charset="0"/>
                  <a:ea typeface="+mn-ea"/>
                  <a:cs typeface="Courier New" panose="02070309020205020404" pitchFamily="49" charset="0"/>
                </a:rPr>
              </a:br>
              <a:r>
                <a:rPr lang="es-MX" sz="1100" b="0" i="0" baseline="0">
                  <a:solidFill>
                    <a:schemeClr val="dk1"/>
                  </a:solidFill>
                  <a:effectLst/>
                  <a:latin typeface="Courier New" panose="02070309020205020404" pitchFamily="49" charset="0"/>
                  <a:ea typeface="+mn-ea"/>
                  <a:cs typeface="Courier New" panose="02070309020205020404" pitchFamily="49" charset="0"/>
                </a:rPr>
                <a:t>Si el IR &gt; 1 el proyecto debe aceptarse porque crea valor para la empresa </a:t>
              </a:r>
              <a:br>
                <a:rPr lang="es-MX" sz="1100" b="0" i="0" baseline="0">
                  <a:solidFill>
                    <a:schemeClr val="dk1"/>
                  </a:solidFill>
                  <a:effectLst/>
                  <a:latin typeface="Courier New" panose="02070309020205020404" pitchFamily="49" charset="0"/>
                  <a:ea typeface="+mn-ea"/>
                  <a:cs typeface="Courier New" panose="02070309020205020404" pitchFamily="49" charset="0"/>
                </a:rPr>
              </a:br>
              <a:r>
                <a:rPr lang="es-MX" sz="1100" b="0" i="0" baseline="0">
                  <a:solidFill>
                    <a:schemeClr val="dk1"/>
                  </a:solidFill>
                  <a:effectLst/>
                  <a:latin typeface="Courier New" panose="02070309020205020404" pitchFamily="49" charset="0"/>
                  <a:ea typeface="+mn-ea"/>
                  <a:cs typeface="Courier New" panose="02070309020205020404" pitchFamily="49" charset="0"/>
                </a:rPr>
                <a:t>Si el IR &lt; 1 el proyecto se debe rechazar porque no crea valor para la empresa </a:t>
              </a:r>
              <a:br>
                <a:rPr lang="es-MX" sz="1100" b="0" i="0" baseline="0">
                  <a:solidFill>
                    <a:schemeClr val="dk1"/>
                  </a:solidFill>
                  <a:effectLst/>
                  <a:latin typeface="Courier New" panose="02070309020205020404" pitchFamily="49" charset="0"/>
                  <a:ea typeface="+mn-ea"/>
                  <a:cs typeface="Courier New" panose="02070309020205020404" pitchFamily="49" charset="0"/>
                </a:rPr>
              </a:br>
              <a:r>
                <a:rPr lang="es-MX" sz="1100" b="0" i="0" baseline="0">
                  <a:solidFill>
                    <a:schemeClr val="dk1"/>
                  </a:solidFill>
                  <a:effectLst/>
                  <a:latin typeface="Courier New" panose="02070309020205020404" pitchFamily="49" charset="0"/>
                  <a:ea typeface="+mn-ea"/>
                  <a:cs typeface="Courier New" panose="02070309020205020404" pitchFamily="49" charset="0"/>
                </a:rPr>
                <a:t>Si el IR = 1 es indiferente aceptar o rechazar el proyecto porque no crea ni destruye su valor para la empresa</a:t>
              </a:r>
              <a:r>
                <a:rPr lang="es-MX" sz="1400" b="0" i="0" baseline="0">
                  <a:solidFill>
                    <a:schemeClr val="dk1"/>
                  </a:solidFill>
                  <a:effectLst/>
                  <a:latin typeface="Calibri" panose="020F0502020204030204" pitchFamily="34" charset="0"/>
                  <a:ea typeface="+mn-ea"/>
                  <a:cs typeface="Calibri" panose="020F050202020403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endParaRPr lang="es-MX" sz="1400" b="0" i="0" baseline="0">
                <a:solidFill>
                  <a:schemeClr val="dk1"/>
                </a:solidFill>
                <a:effectLst/>
                <a:latin typeface="Calibri" panose="020F0502020204030204" pitchFamily="34" charset="0"/>
                <a:ea typeface="+mn-ea"/>
                <a:cs typeface="Calibri" panose="020F0502020204030204" pitchFamily="34" charset="0"/>
              </a:endParaRPr>
            </a:p>
          </xdr:txBody>
        </xdr:sp>
      </mc:Choice>
      <mc:Fallback xmlns="">
        <xdr:sp macro="" textlink="">
          <xdr:nvSpPr>
            <xdr:cNvPr id="10" name="CuadroTexto 9">
              <a:extLst>
                <a:ext uri="{FF2B5EF4-FFF2-40B4-BE49-F238E27FC236}">
                  <a16:creationId xmlns:a16="http://schemas.microsoft.com/office/drawing/2014/main" id="{28693644-13A9-4A36-AC29-E145285C31EF}"/>
                </a:ext>
              </a:extLst>
            </xdr:cNvPr>
            <xdr:cNvSpPr txBox="1"/>
          </xdr:nvSpPr>
          <xdr:spPr>
            <a:xfrm>
              <a:off x="0" y="15373350"/>
              <a:ext cx="8391524" cy="2867025"/>
            </a:xfrm>
            <a:prstGeom prst="rect">
              <a:avLst/>
            </a:prstGeom>
            <a:solidFill>
              <a:schemeClr val="accent5">
                <a:lumMod val="40000"/>
                <a:lumOff val="60000"/>
                <a:alpha val="85098"/>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MX" sz="1100" b="0" i="0" baseline="0">
                  <a:solidFill>
                    <a:schemeClr val="dk1"/>
                  </a:solidFill>
                  <a:effectLst/>
                  <a:latin typeface="Courier New" panose="02070309020205020404" pitchFamily="49" charset="0"/>
                  <a:ea typeface="+mn-ea"/>
                  <a:cs typeface="Courier New" panose="02070309020205020404" pitchFamily="49" charset="0"/>
                </a:rPr>
                <a:t>El índice de rentabilidad se define como la razón existente entre la suma de los valores presente de los flujos netos de efectivo de un proyecto, descontados con la tasa de costo de capital k y la inversión inicial requerida </a:t>
              </a:r>
              <a:br>
                <a:rPr lang="es-MX" sz="1100" b="0" i="0" baseline="0">
                  <a:solidFill>
                    <a:schemeClr val="dk1"/>
                  </a:solidFill>
                  <a:effectLst/>
                  <a:latin typeface="Courier New" panose="02070309020205020404" pitchFamily="49" charset="0"/>
                  <a:ea typeface="+mn-ea"/>
                  <a:cs typeface="Courier New" panose="02070309020205020404" pitchFamily="49" charset="0"/>
                </a:rPr>
              </a:br>
              <a:br>
                <a:rPr lang="es-MX" sz="1100" b="0" i="0" baseline="0">
                  <a:solidFill>
                    <a:schemeClr val="dk1"/>
                  </a:solidFill>
                  <a:effectLst/>
                  <a:latin typeface="Courier New" panose="02070309020205020404" pitchFamily="49" charset="0"/>
                  <a:ea typeface="+mn-ea"/>
                  <a:cs typeface="Courier New" panose="02070309020205020404" pitchFamily="49" charset="0"/>
                </a:rPr>
              </a:br>
              <a:r>
                <a:rPr lang="es-MX" sz="1100" b="0" i="0" baseline="0">
                  <a:solidFill>
                    <a:schemeClr val="dk1"/>
                  </a:solidFill>
                  <a:effectLst/>
                  <a:latin typeface="Courier New" panose="02070309020205020404" pitchFamily="49" charset="0"/>
                  <a:ea typeface="+mn-ea"/>
                  <a:cs typeface="Courier New" panose="02070309020205020404" pitchFamily="49" charset="0"/>
                </a:rPr>
                <a:t>La fórmula general para obtener el índice de rentabilidad (IR) es:</a:t>
              </a:r>
            </a:p>
            <a:p>
              <a:pPr marL="0" marR="0" lvl="0" indent="0" defTabSz="914400" eaLnBrk="1" fontAlgn="auto" latinLnBrk="0" hangingPunct="1">
                <a:lnSpc>
                  <a:spcPct val="100000"/>
                </a:lnSpc>
                <a:spcBef>
                  <a:spcPts val="0"/>
                </a:spcBef>
                <a:spcAft>
                  <a:spcPts val="0"/>
                </a:spcAft>
                <a:buClrTx/>
                <a:buSzTx/>
                <a:buFontTx/>
                <a:buNone/>
                <a:tabLst/>
                <a:defRPr/>
              </a:pPr>
              <a:endParaRPr lang="es-MX" sz="1100" b="0" i="0" baseline="0">
                <a:solidFill>
                  <a:schemeClr val="dk1"/>
                </a:solidFill>
                <a:effectLst/>
                <a:latin typeface="Courier New" panose="02070309020205020404" pitchFamily="49" charset="0"/>
                <a:ea typeface="+mn-ea"/>
                <a:cs typeface="Courier New" panose="02070309020205020404" pitchFamily="49"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100" b="0" i="0" baseline="0">
                  <a:solidFill>
                    <a:schemeClr val="dk1"/>
                  </a:solidFill>
                  <a:effectLst/>
                  <a:latin typeface="Cambria Math" panose="02040503050406030204" pitchFamily="18" charset="0"/>
                  <a:ea typeface="+mn-ea"/>
                  <a:cs typeface="Calibri" panose="020F0502020204030204" pitchFamily="34" charset="0"/>
                </a:rPr>
                <a:t>𝐼𝑅= 𝑆𝑈𝑀𝐴 𝐷𝐸𝐿 𝑉𝐴𝐿𝑂𝑅 𝑃𝑅𝐸𝑆𝐸𝑁𝑇𝐸 𝐷𝐸 𝐿𝑂𝑆 𝐹𝐿𝑈𝐽𝑂𝑆 𝐷𝐸 𝐸𝐹𝐸𝐶𝑇𝐼𝑉𝑂 𝑁𝐸𝑇𝑂 / 𝐼𝑁𝑉𝐸𝑅𝑆𝐼𝑂𝑁 𝐼𝑁𝐼𝐶𝐼𝐴𝐿</a:t>
              </a:r>
              <a:br>
                <a:rPr lang="es-MX" sz="1100" b="0" i="0" baseline="0">
                  <a:solidFill>
                    <a:schemeClr val="dk1"/>
                  </a:solidFill>
                  <a:effectLst/>
                  <a:latin typeface="Courier New" panose="02070309020205020404" pitchFamily="49" charset="0"/>
                  <a:ea typeface="+mn-ea"/>
                  <a:cs typeface="Courier New" panose="02070309020205020404" pitchFamily="49" charset="0"/>
                </a:rPr>
              </a:br>
              <a:endParaRPr lang="es-MX" sz="1100" b="0" i="0" baseline="0">
                <a:solidFill>
                  <a:schemeClr val="dk1"/>
                </a:solidFill>
                <a:effectLst/>
                <a:latin typeface="Courier New" panose="02070309020205020404" pitchFamily="49" charset="0"/>
                <a:ea typeface="+mn-ea"/>
                <a:cs typeface="Courier New" panose="02070309020205020404" pitchFamily="49" charset="0"/>
              </a:endParaRPr>
            </a:p>
            <a:p>
              <a:pPr marL="0" marR="0" lvl="0" indent="0" defTabSz="914400" eaLnBrk="1" fontAlgn="auto" latinLnBrk="0" hangingPunct="1">
                <a:lnSpc>
                  <a:spcPct val="100000"/>
                </a:lnSpc>
                <a:spcBef>
                  <a:spcPts val="0"/>
                </a:spcBef>
                <a:spcAft>
                  <a:spcPts val="0"/>
                </a:spcAft>
                <a:buClrTx/>
                <a:buSzTx/>
                <a:buFontTx/>
                <a:buNone/>
                <a:tabLst/>
                <a:defRPr/>
              </a:pPr>
              <a:br>
                <a:rPr lang="es-MX" sz="1100" b="0" i="0" baseline="0">
                  <a:solidFill>
                    <a:schemeClr val="dk1"/>
                  </a:solidFill>
                  <a:effectLst/>
                  <a:latin typeface="Courier New" panose="02070309020205020404" pitchFamily="49" charset="0"/>
                  <a:ea typeface="+mn-ea"/>
                  <a:cs typeface="Courier New" panose="02070309020205020404" pitchFamily="49" charset="0"/>
                </a:rPr>
              </a:br>
              <a:r>
                <a:rPr lang="es-MX" sz="1100" b="0" i="0" baseline="0">
                  <a:solidFill>
                    <a:schemeClr val="dk1"/>
                  </a:solidFill>
                  <a:effectLst/>
                  <a:latin typeface="Courier New" panose="02070309020205020404" pitchFamily="49" charset="0"/>
                  <a:ea typeface="+mn-ea"/>
                  <a:cs typeface="Courier New" panose="02070309020205020404" pitchFamily="49" charset="0"/>
                </a:rPr>
                <a:t>El IR se puede interpretar como el valor presente o la rentabilidad obtenida por cada unidad monetaria invertida en el proyecto.</a:t>
              </a:r>
              <a:br>
                <a:rPr lang="es-MX" sz="1100" b="0" i="0" baseline="0">
                  <a:solidFill>
                    <a:schemeClr val="dk1"/>
                  </a:solidFill>
                  <a:effectLst/>
                  <a:latin typeface="Courier New" panose="02070309020205020404" pitchFamily="49" charset="0"/>
                  <a:ea typeface="+mn-ea"/>
                  <a:cs typeface="Courier New" panose="02070309020205020404" pitchFamily="49" charset="0"/>
                </a:rPr>
              </a:br>
              <a:br>
                <a:rPr lang="es-MX" sz="1100" b="0" i="0" baseline="0">
                  <a:solidFill>
                    <a:schemeClr val="dk1"/>
                  </a:solidFill>
                  <a:effectLst/>
                  <a:latin typeface="Courier New" panose="02070309020205020404" pitchFamily="49" charset="0"/>
                  <a:ea typeface="+mn-ea"/>
                  <a:cs typeface="Courier New" panose="02070309020205020404" pitchFamily="49" charset="0"/>
                </a:rPr>
              </a:br>
              <a:r>
                <a:rPr lang="es-MX" sz="1100" b="0" i="0" baseline="0">
                  <a:solidFill>
                    <a:schemeClr val="dk1"/>
                  </a:solidFill>
                  <a:effectLst/>
                  <a:latin typeface="Courier New" panose="02070309020205020404" pitchFamily="49" charset="0"/>
                  <a:ea typeface="+mn-ea"/>
                  <a:cs typeface="Courier New" panose="02070309020205020404" pitchFamily="49" charset="0"/>
                </a:rPr>
                <a:t>Criterios de decisión:</a:t>
              </a:r>
              <a:br>
                <a:rPr lang="es-MX" sz="1100" b="0" i="0" baseline="0">
                  <a:solidFill>
                    <a:schemeClr val="dk1"/>
                  </a:solidFill>
                  <a:effectLst/>
                  <a:latin typeface="Courier New" panose="02070309020205020404" pitchFamily="49" charset="0"/>
                  <a:ea typeface="+mn-ea"/>
                  <a:cs typeface="Courier New" panose="02070309020205020404" pitchFamily="49" charset="0"/>
                </a:rPr>
              </a:br>
              <a:br>
                <a:rPr lang="es-MX" sz="1100" b="0" i="0" baseline="0">
                  <a:solidFill>
                    <a:schemeClr val="dk1"/>
                  </a:solidFill>
                  <a:effectLst/>
                  <a:latin typeface="Courier New" panose="02070309020205020404" pitchFamily="49" charset="0"/>
                  <a:ea typeface="+mn-ea"/>
                  <a:cs typeface="Courier New" panose="02070309020205020404" pitchFamily="49" charset="0"/>
                </a:rPr>
              </a:br>
              <a:r>
                <a:rPr lang="es-MX" sz="1100" b="0" i="0" baseline="0">
                  <a:solidFill>
                    <a:schemeClr val="dk1"/>
                  </a:solidFill>
                  <a:effectLst/>
                  <a:latin typeface="Courier New" panose="02070309020205020404" pitchFamily="49" charset="0"/>
                  <a:ea typeface="+mn-ea"/>
                  <a:cs typeface="Courier New" panose="02070309020205020404" pitchFamily="49" charset="0"/>
                </a:rPr>
                <a:t>Si el IR &gt; 1 el proyecto debe aceptarse porque crea valor para la empresa </a:t>
              </a:r>
              <a:br>
                <a:rPr lang="es-MX" sz="1100" b="0" i="0" baseline="0">
                  <a:solidFill>
                    <a:schemeClr val="dk1"/>
                  </a:solidFill>
                  <a:effectLst/>
                  <a:latin typeface="Courier New" panose="02070309020205020404" pitchFamily="49" charset="0"/>
                  <a:ea typeface="+mn-ea"/>
                  <a:cs typeface="Courier New" panose="02070309020205020404" pitchFamily="49" charset="0"/>
                </a:rPr>
              </a:br>
              <a:r>
                <a:rPr lang="es-MX" sz="1100" b="0" i="0" baseline="0">
                  <a:solidFill>
                    <a:schemeClr val="dk1"/>
                  </a:solidFill>
                  <a:effectLst/>
                  <a:latin typeface="Courier New" panose="02070309020205020404" pitchFamily="49" charset="0"/>
                  <a:ea typeface="+mn-ea"/>
                  <a:cs typeface="Courier New" panose="02070309020205020404" pitchFamily="49" charset="0"/>
                </a:rPr>
                <a:t>Si el IR &lt; 1 el proyecto se debe rechazar porque no crea valor para la empresa </a:t>
              </a:r>
              <a:br>
                <a:rPr lang="es-MX" sz="1100" b="0" i="0" baseline="0">
                  <a:solidFill>
                    <a:schemeClr val="dk1"/>
                  </a:solidFill>
                  <a:effectLst/>
                  <a:latin typeface="Courier New" panose="02070309020205020404" pitchFamily="49" charset="0"/>
                  <a:ea typeface="+mn-ea"/>
                  <a:cs typeface="Courier New" panose="02070309020205020404" pitchFamily="49" charset="0"/>
                </a:rPr>
              </a:br>
              <a:r>
                <a:rPr lang="es-MX" sz="1100" b="0" i="0" baseline="0">
                  <a:solidFill>
                    <a:schemeClr val="dk1"/>
                  </a:solidFill>
                  <a:effectLst/>
                  <a:latin typeface="Courier New" panose="02070309020205020404" pitchFamily="49" charset="0"/>
                  <a:ea typeface="+mn-ea"/>
                  <a:cs typeface="Courier New" panose="02070309020205020404" pitchFamily="49" charset="0"/>
                </a:rPr>
                <a:t>Si el IR = 1 es indiferente aceptar o rechazar el proyecto porque no crea ni destruye su valor para la empresa</a:t>
              </a:r>
              <a:r>
                <a:rPr lang="es-MX" sz="1400" b="0" i="0" baseline="0">
                  <a:solidFill>
                    <a:schemeClr val="dk1"/>
                  </a:solidFill>
                  <a:effectLst/>
                  <a:latin typeface="Calibri" panose="020F0502020204030204" pitchFamily="34" charset="0"/>
                  <a:ea typeface="+mn-ea"/>
                  <a:cs typeface="Calibri" panose="020F050202020403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endParaRPr lang="es-MX" sz="1400" b="0" i="0" baseline="0">
                <a:solidFill>
                  <a:schemeClr val="dk1"/>
                </a:solidFill>
                <a:effectLst/>
                <a:latin typeface="Calibri" panose="020F0502020204030204" pitchFamily="34" charset="0"/>
                <a:ea typeface="+mn-ea"/>
                <a:cs typeface="Calibri" panose="020F0502020204030204" pitchFamily="34" charset="0"/>
              </a:endParaRPr>
            </a:p>
          </xdr:txBody>
        </xdr:sp>
      </mc:Fallback>
    </mc:AlternateContent>
    <xdr:clientData/>
  </xdr:twoCellAnchor>
  <xdr:twoCellAnchor>
    <xdr:from>
      <xdr:col>0</xdr:col>
      <xdr:colOff>314325</xdr:colOff>
      <xdr:row>97</xdr:row>
      <xdr:rowOff>38100</xdr:rowOff>
    </xdr:from>
    <xdr:to>
      <xdr:col>2</xdr:col>
      <xdr:colOff>209550</xdr:colOff>
      <xdr:row>98</xdr:row>
      <xdr:rowOff>142875</xdr:rowOff>
    </xdr:to>
    <xdr:sp macro="" textlink="">
      <xdr:nvSpPr>
        <xdr:cNvPr id="11" name="Rectángulo: esquinas redondeadas 10">
          <a:hlinkClick xmlns:r="http://schemas.openxmlformats.org/officeDocument/2006/relationships" r:id="rId3"/>
          <a:extLst>
            <a:ext uri="{FF2B5EF4-FFF2-40B4-BE49-F238E27FC236}">
              <a16:creationId xmlns:a16="http://schemas.microsoft.com/office/drawing/2014/main" id="{C75EC59A-B1A6-4B8C-BFC7-9EDD7F25CD88}"/>
            </a:ext>
          </a:extLst>
        </xdr:cNvPr>
        <xdr:cNvSpPr/>
      </xdr:nvSpPr>
      <xdr:spPr>
        <a:xfrm>
          <a:off x="314325" y="455295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Portada</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2</xdr:col>
      <xdr:colOff>333375</xdr:colOff>
      <xdr:row>97</xdr:row>
      <xdr:rowOff>38100</xdr:rowOff>
    </xdr:from>
    <xdr:to>
      <xdr:col>4</xdr:col>
      <xdr:colOff>228600</xdr:colOff>
      <xdr:row>98</xdr:row>
      <xdr:rowOff>142875</xdr:rowOff>
    </xdr:to>
    <xdr:sp macro="" textlink="">
      <xdr:nvSpPr>
        <xdr:cNvPr id="12" name="Rectángulo: esquinas redondeadas 11">
          <a:hlinkClick xmlns:r="http://schemas.openxmlformats.org/officeDocument/2006/relationships" r:id="rId4"/>
          <a:extLst>
            <a:ext uri="{FF2B5EF4-FFF2-40B4-BE49-F238E27FC236}">
              <a16:creationId xmlns:a16="http://schemas.microsoft.com/office/drawing/2014/main" id="{342A9A90-F7D3-4548-80D8-3B95AE6E9B1D}"/>
            </a:ext>
          </a:extLst>
        </xdr:cNvPr>
        <xdr:cNvSpPr/>
      </xdr:nvSpPr>
      <xdr:spPr>
        <a:xfrm>
          <a:off x="1857375" y="455295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Fundamentación</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4</xdr:col>
      <xdr:colOff>333375</xdr:colOff>
      <xdr:row>97</xdr:row>
      <xdr:rowOff>57150</xdr:rowOff>
    </xdr:from>
    <xdr:to>
      <xdr:col>6</xdr:col>
      <xdr:colOff>228600</xdr:colOff>
      <xdr:row>98</xdr:row>
      <xdr:rowOff>161925</xdr:rowOff>
    </xdr:to>
    <xdr:sp macro="" textlink="">
      <xdr:nvSpPr>
        <xdr:cNvPr id="13" name="Rectángulo: esquinas redondeadas 12">
          <a:hlinkClick xmlns:r="http://schemas.openxmlformats.org/officeDocument/2006/relationships" r:id="rId5"/>
          <a:extLst>
            <a:ext uri="{FF2B5EF4-FFF2-40B4-BE49-F238E27FC236}">
              <a16:creationId xmlns:a16="http://schemas.microsoft.com/office/drawing/2014/main" id="{7471369A-97B1-40C6-A885-57FAEF7F33D5}"/>
            </a:ext>
          </a:extLst>
        </xdr:cNvPr>
        <xdr:cNvSpPr/>
      </xdr:nvSpPr>
      <xdr:spPr>
        <a:xfrm>
          <a:off x="3381375" y="457200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Objetivo</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6</xdr:col>
      <xdr:colOff>352425</xdr:colOff>
      <xdr:row>97</xdr:row>
      <xdr:rowOff>47625</xdr:rowOff>
    </xdr:from>
    <xdr:to>
      <xdr:col>8</xdr:col>
      <xdr:colOff>247650</xdr:colOff>
      <xdr:row>98</xdr:row>
      <xdr:rowOff>152400</xdr:rowOff>
    </xdr:to>
    <xdr:sp macro="" textlink="">
      <xdr:nvSpPr>
        <xdr:cNvPr id="14" name="Rectángulo: esquinas redondeadas 13">
          <a:hlinkClick xmlns:r="http://schemas.openxmlformats.org/officeDocument/2006/relationships" r:id="rId6"/>
          <a:extLst>
            <a:ext uri="{FF2B5EF4-FFF2-40B4-BE49-F238E27FC236}">
              <a16:creationId xmlns:a16="http://schemas.microsoft.com/office/drawing/2014/main" id="{B5AD5A32-55FC-4F67-8B42-194E6410EAB5}"/>
            </a:ext>
          </a:extLst>
        </xdr:cNvPr>
        <xdr:cNvSpPr/>
      </xdr:nvSpPr>
      <xdr:spPr>
        <a:xfrm>
          <a:off x="4924425" y="4562475"/>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Datos</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xdr:col>
      <xdr:colOff>171450</xdr:colOff>
      <xdr:row>99</xdr:row>
      <xdr:rowOff>19049</xdr:rowOff>
    </xdr:from>
    <xdr:to>
      <xdr:col>3</xdr:col>
      <xdr:colOff>200025</xdr:colOff>
      <xdr:row>101</xdr:row>
      <xdr:rowOff>104774</xdr:rowOff>
    </xdr:to>
    <xdr:sp macro="" textlink="">
      <xdr:nvSpPr>
        <xdr:cNvPr id="15" name="Rectángulo: esquinas redondeadas 14">
          <a:hlinkClick xmlns:r="http://schemas.openxmlformats.org/officeDocument/2006/relationships" r:id="rId7"/>
          <a:extLst>
            <a:ext uri="{FF2B5EF4-FFF2-40B4-BE49-F238E27FC236}">
              <a16:creationId xmlns:a16="http://schemas.microsoft.com/office/drawing/2014/main" id="{CFFC7B70-BD7E-4480-9B31-28E42932B7DC}"/>
            </a:ext>
          </a:extLst>
        </xdr:cNvPr>
        <xdr:cNvSpPr/>
      </xdr:nvSpPr>
      <xdr:spPr>
        <a:xfrm>
          <a:off x="933450" y="4914899"/>
          <a:ext cx="1552575" cy="4667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Balance</a:t>
          </a:r>
          <a:r>
            <a:rPr lang="es-MX" sz="1100" baseline="0">
              <a:solidFill>
                <a:schemeClr val="accent1"/>
              </a:solidFill>
              <a:latin typeface="Courier New" panose="02070309020205020404" pitchFamily="49" charset="0"/>
              <a:cs typeface="Courier New" panose="02070309020205020404" pitchFamily="49" charset="0"/>
            </a:rPr>
            <a:t> General Incial</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3</xdr:col>
      <xdr:colOff>342900</xdr:colOff>
      <xdr:row>99</xdr:row>
      <xdr:rowOff>19050</xdr:rowOff>
    </xdr:from>
    <xdr:to>
      <xdr:col>5</xdr:col>
      <xdr:colOff>238125</xdr:colOff>
      <xdr:row>101</xdr:row>
      <xdr:rowOff>104775</xdr:rowOff>
    </xdr:to>
    <xdr:sp macro="" textlink="">
      <xdr:nvSpPr>
        <xdr:cNvPr id="16" name="Rectángulo: esquinas redondeadas 15">
          <a:hlinkClick xmlns:r="http://schemas.openxmlformats.org/officeDocument/2006/relationships" r:id="rId8"/>
          <a:extLst>
            <a:ext uri="{FF2B5EF4-FFF2-40B4-BE49-F238E27FC236}">
              <a16:creationId xmlns:a16="http://schemas.microsoft.com/office/drawing/2014/main" id="{3DE8F2BB-6752-42E9-93AB-349A34E0095D}"/>
            </a:ext>
          </a:extLst>
        </xdr:cNvPr>
        <xdr:cNvSpPr/>
      </xdr:nvSpPr>
      <xdr:spPr>
        <a:xfrm>
          <a:off x="2628900" y="4914900"/>
          <a:ext cx="1419225" cy="4667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Estado</a:t>
          </a:r>
          <a:r>
            <a:rPr lang="es-MX" sz="1100" baseline="0">
              <a:solidFill>
                <a:schemeClr val="accent1"/>
              </a:solidFill>
              <a:latin typeface="Courier New" panose="02070309020205020404" pitchFamily="49" charset="0"/>
              <a:cs typeface="Courier New" panose="02070309020205020404" pitchFamily="49" charset="0"/>
            </a:rPr>
            <a:t> De Resultados</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5</xdr:col>
      <xdr:colOff>342900</xdr:colOff>
      <xdr:row>99</xdr:row>
      <xdr:rowOff>95250</xdr:rowOff>
    </xdr:from>
    <xdr:to>
      <xdr:col>7</xdr:col>
      <xdr:colOff>238125</xdr:colOff>
      <xdr:row>101</xdr:row>
      <xdr:rowOff>9525</xdr:rowOff>
    </xdr:to>
    <xdr:sp macro="" textlink="">
      <xdr:nvSpPr>
        <xdr:cNvPr id="17" name="Rectángulo: esquinas redondeadas 16">
          <a:hlinkClick xmlns:r="http://schemas.openxmlformats.org/officeDocument/2006/relationships" r:id="rId9"/>
          <a:extLst>
            <a:ext uri="{FF2B5EF4-FFF2-40B4-BE49-F238E27FC236}">
              <a16:creationId xmlns:a16="http://schemas.microsoft.com/office/drawing/2014/main" id="{F0913A74-6D99-4590-B173-A1C33AB41BD8}"/>
            </a:ext>
          </a:extLst>
        </xdr:cNvPr>
        <xdr:cNvSpPr/>
      </xdr:nvSpPr>
      <xdr:spPr>
        <a:xfrm>
          <a:off x="4152900" y="499110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FNE</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2</xdr:col>
      <xdr:colOff>276225</xdr:colOff>
      <xdr:row>102</xdr:row>
      <xdr:rowOff>0</xdr:rowOff>
    </xdr:from>
    <xdr:to>
      <xdr:col>4</xdr:col>
      <xdr:colOff>257175</xdr:colOff>
      <xdr:row>103</xdr:row>
      <xdr:rowOff>104775</xdr:rowOff>
    </xdr:to>
    <xdr:sp macro="" textlink="">
      <xdr:nvSpPr>
        <xdr:cNvPr id="18" name="Rectángulo: esquinas redondeadas 17">
          <a:hlinkClick xmlns:r="http://schemas.openxmlformats.org/officeDocument/2006/relationships" r:id="rId10"/>
          <a:extLst>
            <a:ext uri="{FF2B5EF4-FFF2-40B4-BE49-F238E27FC236}">
              <a16:creationId xmlns:a16="http://schemas.microsoft.com/office/drawing/2014/main" id="{494B503B-7A6E-4888-9884-0A2E2F6F9ECF}"/>
            </a:ext>
          </a:extLst>
        </xdr:cNvPr>
        <xdr:cNvSpPr/>
      </xdr:nvSpPr>
      <xdr:spPr>
        <a:xfrm>
          <a:off x="1800225" y="5467350"/>
          <a:ext cx="1504950"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Balance</a:t>
          </a:r>
          <a:r>
            <a:rPr lang="es-MX" sz="1100" baseline="0">
              <a:solidFill>
                <a:schemeClr val="accent1"/>
              </a:solidFill>
              <a:latin typeface="Courier New" panose="02070309020205020404" pitchFamily="49" charset="0"/>
              <a:cs typeface="Courier New" panose="02070309020205020404" pitchFamily="49" charset="0"/>
            </a:rPr>
            <a:t> General</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4</xdr:col>
      <xdr:colOff>342900</xdr:colOff>
      <xdr:row>101</xdr:row>
      <xdr:rowOff>161925</xdr:rowOff>
    </xdr:from>
    <xdr:to>
      <xdr:col>6</xdr:col>
      <xdr:colOff>381000</xdr:colOff>
      <xdr:row>104</xdr:row>
      <xdr:rowOff>104775</xdr:rowOff>
    </xdr:to>
    <xdr:sp macro="" textlink="">
      <xdr:nvSpPr>
        <xdr:cNvPr id="19" name="Rectángulo: esquinas redondeadas 18">
          <a:hlinkClick xmlns:r="http://schemas.openxmlformats.org/officeDocument/2006/relationships" r:id="rId11"/>
          <a:extLst>
            <a:ext uri="{FF2B5EF4-FFF2-40B4-BE49-F238E27FC236}">
              <a16:creationId xmlns:a16="http://schemas.microsoft.com/office/drawing/2014/main" id="{E2DD8F0C-9D81-4B38-9F93-97A5F08F1E91}"/>
            </a:ext>
          </a:extLst>
        </xdr:cNvPr>
        <xdr:cNvSpPr/>
      </xdr:nvSpPr>
      <xdr:spPr>
        <a:xfrm>
          <a:off x="3390900" y="5438775"/>
          <a:ext cx="1562100" cy="5143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Métodos</a:t>
          </a:r>
          <a:r>
            <a:rPr lang="es-MX" sz="1100" baseline="0">
              <a:solidFill>
                <a:schemeClr val="accent1"/>
              </a:solidFill>
              <a:latin typeface="Courier New" panose="02070309020205020404" pitchFamily="49" charset="0"/>
              <a:cs typeface="Courier New" panose="02070309020205020404" pitchFamily="49" charset="0"/>
            </a:rPr>
            <a:t> Evaluación</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3</xdr:col>
      <xdr:colOff>333375</xdr:colOff>
      <xdr:row>105</xdr:row>
      <xdr:rowOff>9525</xdr:rowOff>
    </xdr:from>
    <xdr:to>
      <xdr:col>5</xdr:col>
      <xdr:colOff>466725</xdr:colOff>
      <xdr:row>106</xdr:row>
      <xdr:rowOff>114300</xdr:rowOff>
    </xdr:to>
    <xdr:sp macro="" textlink="">
      <xdr:nvSpPr>
        <xdr:cNvPr id="20" name="Rectángulo: esquinas redondeadas 19">
          <a:hlinkClick xmlns:r="http://schemas.openxmlformats.org/officeDocument/2006/relationships" r:id="rId12"/>
          <a:extLst>
            <a:ext uri="{FF2B5EF4-FFF2-40B4-BE49-F238E27FC236}">
              <a16:creationId xmlns:a16="http://schemas.microsoft.com/office/drawing/2014/main" id="{CB595998-878D-463E-957B-DF5E71713D64}"/>
            </a:ext>
          </a:extLst>
        </xdr:cNvPr>
        <xdr:cNvSpPr/>
      </xdr:nvSpPr>
      <xdr:spPr>
        <a:xfrm>
          <a:off x="2619375" y="6048375"/>
          <a:ext cx="1657350"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Punto</a:t>
          </a:r>
          <a:r>
            <a:rPr lang="es-MX" sz="1100" baseline="0">
              <a:solidFill>
                <a:schemeClr val="accent1"/>
              </a:solidFill>
              <a:latin typeface="Courier New" panose="02070309020205020404" pitchFamily="49" charset="0"/>
              <a:cs typeface="Courier New" panose="02070309020205020404" pitchFamily="49" charset="0"/>
            </a:rPr>
            <a:t> Equilibrio</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247649</xdr:rowOff>
    </xdr:from>
    <xdr:to>
      <xdr:col>9</xdr:col>
      <xdr:colOff>752475</xdr:colOff>
      <xdr:row>7</xdr:row>
      <xdr:rowOff>85724</xdr:rowOff>
    </xdr:to>
    <xdr:sp macro="" textlink="">
      <xdr:nvSpPr>
        <xdr:cNvPr id="2" name="CuadroTexto 1">
          <a:extLst>
            <a:ext uri="{FF2B5EF4-FFF2-40B4-BE49-F238E27FC236}">
              <a16:creationId xmlns:a16="http://schemas.microsoft.com/office/drawing/2014/main" id="{EACF3FCC-B09E-4F4A-B2F3-4843953B36F2}"/>
            </a:ext>
          </a:extLst>
        </xdr:cNvPr>
        <xdr:cNvSpPr txBox="1"/>
      </xdr:nvSpPr>
      <xdr:spPr>
        <a:xfrm>
          <a:off x="0" y="247649"/>
          <a:ext cx="7610475" cy="1228725"/>
        </a:xfrm>
        <a:prstGeom prst="rect">
          <a:avLst/>
        </a:prstGeom>
        <a:solidFill>
          <a:schemeClr val="accent5">
            <a:lumMod val="40000"/>
            <a:lumOff val="60000"/>
            <a:alpha val="50196"/>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a:solidFill>
                <a:schemeClr val="dk1"/>
              </a:solidFill>
              <a:effectLst/>
              <a:latin typeface="Courier New" panose="02070309020205020404" pitchFamily="49" charset="0"/>
              <a:ea typeface="+mn-ea"/>
              <a:cs typeface="Courier New" panose="02070309020205020404" pitchFamily="49" charset="0"/>
            </a:rPr>
            <a:t>El propósito es que se pueda utilizar el simulador como un sistema de apoyo didáctico para la evaluacion de proyectos tomando en cuenta los</a:t>
          </a:r>
          <a:r>
            <a:rPr lang="es-MX" sz="1100" baseline="0">
              <a:solidFill>
                <a:schemeClr val="dk1"/>
              </a:solidFill>
              <a:effectLst/>
              <a:latin typeface="Courier New" panose="02070309020205020404" pitchFamily="49" charset="0"/>
              <a:ea typeface="+mn-ea"/>
              <a:cs typeface="Courier New" panose="02070309020205020404" pitchFamily="49" charset="0"/>
            </a:rPr>
            <a:t> metodos vistos en clase asi como los criterios particulares de cada uno</a:t>
          </a:r>
          <a:r>
            <a:rPr lang="es-MX" sz="1100">
              <a:solidFill>
                <a:schemeClr val="dk1"/>
              </a:solidFill>
              <a:effectLst/>
              <a:latin typeface="Courier New" panose="02070309020205020404" pitchFamily="49" charset="0"/>
              <a:ea typeface="+mn-ea"/>
              <a:cs typeface="Courier New" panose="02070309020205020404" pitchFamily="49" charset="0"/>
            </a:rPr>
            <a:t>. Para esto, es importante definir los conceptos básicos de</a:t>
          </a:r>
          <a:r>
            <a:rPr lang="es-MX" sz="1100" baseline="0">
              <a:solidFill>
                <a:schemeClr val="dk1"/>
              </a:solidFill>
              <a:effectLst/>
              <a:latin typeface="Courier New" panose="02070309020205020404" pitchFamily="49" charset="0"/>
              <a:ea typeface="+mn-ea"/>
              <a:cs typeface="Courier New" panose="02070309020205020404" pitchFamily="49" charset="0"/>
            </a:rPr>
            <a:t> los metodos de evaluacion de proyectos</a:t>
          </a:r>
          <a:r>
            <a:rPr lang="es-MX" sz="1100">
              <a:solidFill>
                <a:schemeClr val="dk1"/>
              </a:solidFill>
              <a:effectLst/>
              <a:latin typeface="Courier New" panose="02070309020205020404" pitchFamily="49" charset="0"/>
              <a:ea typeface="+mn-ea"/>
              <a:cs typeface="Courier New" panose="02070309020205020404" pitchFamily="49" charset="0"/>
            </a:rPr>
            <a:t>(Definidos en la</a:t>
          </a:r>
          <a:r>
            <a:rPr lang="es-MX" sz="1100" baseline="0">
              <a:solidFill>
                <a:schemeClr val="dk1"/>
              </a:solidFill>
              <a:effectLst/>
              <a:latin typeface="Courier New" panose="02070309020205020404" pitchFamily="49" charset="0"/>
              <a:ea typeface="+mn-ea"/>
              <a:cs typeface="Courier New" panose="02070309020205020404" pitchFamily="49" charset="0"/>
            </a:rPr>
            <a:t> parte de </a:t>
          </a:r>
          <a:r>
            <a:rPr lang="es-MX" sz="1100" b="1" i="1" baseline="0">
              <a:solidFill>
                <a:schemeClr val="dk1"/>
              </a:solidFill>
              <a:effectLst/>
              <a:latin typeface="Courier New" panose="02070309020205020404" pitchFamily="49" charset="0"/>
              <a:ea typeface="+mn-ea"/>
              <a:cs typeface="Courier New" panose="02070309020205020404" pitchFamily="49" charset="0"/>
            </a:rPr>
            <a:t>Fundamentos</a:t>
          </a:r>
          <a:r>
            <a:rPr lang="es-MX" sz="1100">
              <a:solidFill>
                <a:schemeClr val="dk1"/>
              </a:solidFill>
              <a:effectLst/>
              <a:latin typeface="Courier New" panose="02070309020205020404" pitchFamily="49" charset="0"/>
              <a:ea typeface="+mn-ea"/>
              <a:cs typeface="Courier New" panose="02070309020205020404" pitchFamily="49" charset="0"/>
            </a:rPr>
            <a:t>). </a:t>
          </a:r>
        </a:p>
        <a:p>
          <a:endParaRPr lang="es-MX" sz="1100">
            <a:solidFill>
              <a:schemeClr val="dk1"/>
            </a:solidFill>
            <a:effectLst/>
            <a:latin typeface="Courier New" panose="02070309020205020404" pitchFamily="49" charset="0"/>
            <a:ea typeface="+mn-ea"/>
            <a:cs typeface="Courier New" panose="02070309020205020404" pitchFamily="49" charset="0"/>
          </a:endParaRPr>
        </a:p>
        <a:p>
          <a:r>
            <a:rPr lang="es-MX" sz="1100">
              <a:solidFill>
                <a:schemeClr val="dk1"/>
              </a:solidFill>
              <a:effectLst/>
              <a:latin typeface="Courier New" panose="02070309020205020404" pitchFamily="49" charset="0"/>
              <a:ea typeface="+mn-ea"/>
              <a:cs typeface="Courier New" panose="02070309020205020404" pitchFamily="49" charset="0"/>
            </a:rPr>
            <a:t>Si se conocen los conceptos básicos sobre evaluacion de proyectos, se puede ir a la parte de simulador, en donde se</a:t>
          </a:r>
          <a:r>
            <a:rPr lang="es-MX" sz="1100" baseline="0">
              <a:solidFill>
                <a:schemeClr val="dk1"/>
              </a:solidFill>
              <a:effectLst/>
              <a:latin typeface="Courier New" panose="02070309020205020404" pitchFamily="49" charset="0"/>
              <a:ea typeface="+mn-ea"/>
              <a:cs typeface="Courier New" panose="02070309020205020404" pitchFamily="49" charset="0"/>
            </a:rPr>
            <a:t> ve la practica de la teoria vista previamente.</a:t>
          </a:r>
        </a:p>
        <a:p>
          <a:endParaRPr lang="es-MX" sz="1600" baseline="0">
            <a:solidFill>
              <a:schemeClr val="dk1"/>
            </a:solidFill>
            <a:effectLst/>
            <a:latin typeface="+mn-lt"/>
            <a:ea typeface="+mn-ea"/>
            <a:cs typeface="+mn-cs"/>
          </a:endParaRPr>
        </a:p>
      </xdr:txBody>
    </xdr:sp>
    <xdr:clientData/>
  </xdr:twoCellAnchor>
  <xdr:twoCellAnchor>
    <xdr:from>
      <xdr:col>0</xdr:col>
      <xdr:colOff>314325</xdr:colOff>
      <xdr:row>9</xdr:row>
      <xdr:rowOff>38100</xdr:rowOff>
    </xdr:from>
    <xdr:to>
      <xdr:col>2</xdr:col>
      <xdr:colOff>209550</xdr:colOff>
      <xdr:row>10</xdr:row>
      <xdr:rowOff>142875</xdr:rowOff>
    </xdr:to>
    <xdr:sp macro="" textlink="">
      <xdr:nvSpPr>
        <xdr:cNvPr id="3" name="Rectángulo: esquinas redondeadas 2">
          <a:hlinkClick xmlns:r="http://schemas.openxmlformats.org/officeDocument/2006/relationships" r:id="rId1"/>
          <a:extLst>
            <a:ext uri="{FF2B5EF4-FFF2-40B4-BE49-F238E27FC236}">
              <a16:creationId xmlns:a16="http://schemas.microsoft.com/office/drawing/2014/main" id="{724786D0-9852-4F8B-9D6D-D03852ED0411}"/>
            </a:ext>
          </a:extLst>
        </xdr:cNvPr>
        <xdr:cNvSpPr/>
      </xdr:nvSpPr>
      <xdr:spPr>
        <a:xfrm>
          <a:off x="314325" y="455295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Portada</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2</xdr:col>
      <xdr:colOff>333375</xdr:colOff>
      <xdr:row>9</xdr:row>
      <xdr:rowOff>38100</xdr:rowOff>
    </xdr:from>
    <xdr:to>
      <xdr:col>4</xdr:col>
      <xdr:colOff>228600</xdr:colOff>
      <xdr:row>10</xdr:row>
      <xdr:rowOff>142875</xdr:rowOff>
    </xdr:to>
    <xdr:sp macro="" textlink="">
      <xdr:nvSpPr>
        <xdr:cNvPr id="4" name="Rectángulo: esquinas redondeadas 3">
          <a:hlinkClick xmlns:r="http://schemas.openxmlformats.org/officeDocument/2006/relationships" r:id="rId2"/>
          <a:extLst>
            <a:ext uri="{FF2B5EF4-FFF2-40B4-BE49-F238E27FC236}">
              <a16:creationId xmlns:a16="http://schemas.microsoft.com/office/drawing/2014/main" id="{06CDABC6-79AF-463D-BF3C-6773BC7A6BD4}"/>
            </a:ext>
          </a:extLst>
        </xdr:cNvPr>
        <xdr:cNvSpPr/>
      </xdr:nvSpPr>
      <xdr:spPr>
        <a:xfrm>
          <a:off x="1857375" y="455295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Fundamentación</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4</xdr:col>
      <xdr:colOff>333375</xdr:colOff>
      <xdr:row>9</xdr:row>
      <xdr:rowOff>57150</xdr:rowOff>
    </xdr:from>
    <xdr:to>
      <xdr:col>6</xdr:col>
      <xdr:colOff>228600</xdr:colOff>
      <xdr:row>10</xdr:row>
      <xdr:rowOff>161925</xdr:rowOff>
    </xdr:to>
    <xdr:sp macro="" textlink="">
      <xdr:nvSpPr>
        <xdr:cNvPr id="5" name="Rectángulo: esquinas redondeadas 4">
          <a:hlinkClick xmlns:r="http://schemas.openxmlformats.org/officeDocument/2006/relationships" r:id="rId3"/>
          <a:extLst>
            <a:ext uri="{FF2B5EF4-FFF2-40B4-BE49-F238E27FC236}">
              <a16:creationId xmlns:a16="http://schemas.microsoft.com/office/drawing/2014/main" id="{62596D36-937F-470F-A090-31A8E32540A4}"/>
            </a:ext>
          </a:extLst>
        </xdr:cNvPr>
        <xdr:cNvSpPr/>
      </xdr:nvSpPr>
      <xdr:spPr>
        <a:xfrm>
          <a:off x="3381375" y="457200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Objetivo</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6</xdr:col>
      <xdr:colOff>352425</xdr:colOff>
      <xdr:row>9</xdr:row>
      <xdr:rowOff>47625</xdr:rowOff>
    </xdr:from>
    <xdr:to>
      <xdr:col>8</xdr:col>
      <xdr:colOff>247650</xdr:colOff>
      <xdr:row>10</xdr:row>
      <xdr:rowOff>152400</xdr:rowOff>
    </xdr:to>
    <xdr:sp macro="" textlink="">
      <xdr:nvSpPr>
        <xdr:cNvPr id="6" name="Rectángulo: esquinas redondeadas 5">
          <a:hlinkClick xmlns:r="http://schemas.openxmlformats.org/officeDocument/2006/relationships" r:id="rId4"/>
          <a:extLst>
            <a:ext uri="{FF2B5EF4-FFF2-40B4-BE49-F238E27FC236}">
              <a16:creationId xmlns:a16="http://schemas.microsoft.com/office/drawing/2014/main" id="{DDF30852-C528-4217-9AF0-2D77D29D5C24}"/>
            </a:ext>
          </a:extLst>
        </xdr:cNvPr>
        <xdr:cNvSpPr/>
      </xdr:nvSpPr>
      <xdr:spPr>
        <a:xfrm>
          <a:off x="4924425" y="4562475"/>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Datos</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xdr:col>
      <xdr:colOff>171450</xdr:colOff>
      <xdr:row>11</xdr:row>
      <xdr:rowOff>19049</xdr:rowOff>
    </xdr:from>
    <xdr:to>
      <xdr:col>3</xdr:col>
      <xdr:colOff>200025</xdr:colOff>
      <xdr:row>13</xdr:row>
      <xdr:rowOff>104774</xdr:rowOff>
    </xdr:to>
    <xdr:sp macro="" textlink="">
      <xdr:nvSpPr>
        <xdr:cNvPr id="7" name="Rectángulo: esquinas redondeadas 6">
          <a:hlinkClick xmlns:r="http://schemas.openxmlformats.org/officeDocument/2006/relationships" r:id="rId5"/>
          <a:extLst>
            <a:ext uri="{FF2B5EF4-FFF2-40B4-BE49-F238E27FC236}">
              <a16:creationId xmlns:a16="http://schemas.microsoft.com/office/drawing/2014/main" id="{1DAF1FDC-69D7-4335-BCB5-D90A4488E0AA}"/>
            </a:ext>
          </a:extLst>
        </xdr:cNvPr>
        <xdr:cNvSpPr/>
      </xdr:nvSpPr>
      <xdr:spPr>
        <a:xfrm>
          <a:off x="933450" y="4914899"/>
          <a:ext cx="1552575" cy="4667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Balance</a:t>
          </a:r>
          <a:r>
            <a:rPr lang="es-MX" sz="1100" baseline="0">
              <a:solidFill>
                <a:schemeClr val="accent1"/>
              </a:solidFill>
              <a:latin typeface="Courier New" panose="02070309020205020404" pitchFamily="49" charset="0"/>
              <a:cs typeface="Courier New" panose="02070309020205020404" pitchFamily="49" charset="0"/>
            </a:rPr>
            <a:t> General Incial</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3</xdr:col>
      <xdr:colOff>342900</xdr:colOff>
      <xdr:row>11</xdr:row>
      <xdr:rowOff>19050</xdr:rowOff>
    </xdr:from>
    <xdr:to>
      <xdr:col>5</xdr:col>
      <xdr:colOff>238125</xdr:colOff>
      <xdr:row>13</xdr:row>
      <xdr:rowOff>104775</xdr:rowOff>
    </xdr:to>
    <xdr:sp macro="" textlink="">
      <xdr:nvSpPr>
        <xdr:cNvPr id="8" name="Rectángulo: esquinas redondeadas 7">
          <a:hlinkClick xmlns:r="http://schemas.openxmlformats.org/officeDocument/2006/relationships" r:id="rId6"/>
          <a:extLst>
            <a:ext uri="{FF2B5EF4-FFF2-40B4-BE49-F238E27FC236}">
              <a16:creationId xmlns:a16="http://schemas.microsoft.com/office/drawing/2014/main" id="{ABE48DFB-1B69-4D2D-8EBF-E3A52D254EB0}"/>
            </a:ext>
          </a:extLst>
        </xdr:cNvPr>
        <xdr:cNvSpPr/>
      </xdr:nvSpPr>
      <xdr:spPr>
        <a:xfrm>
          <a:off x="2628900" y="4914900"/>
          <a:ext cx="1419225" cy="4667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Estado</a:t>
          </a:r>
          <a:r>
            <a:rPr lang="es-MX" sz="1100" baseline="0">
              <a:solidFill>
                <a:schemeClr val="accent1"/>
              </a:solidFill>
              <a:latin typeface="Courier New" panose="02070309020205020404" pitchFamily="49" charset="0"/>
              <a:cs typeface="Courier New" panose="02070309020205020404" pitchFamily="49" charset="0"/>
            </a:rPr>
            <a:t> De Resultados</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5</xdr:col>
      <xdr:colOff>342900</xdr:colOff>
      <xdr:row>11</xdr:row>
      <xdr:rowOff>95250</xdr:rowOff>
    </xdr:from>
    <xdr:to>
      <xdr:col>7</xdr:col>
      <xdr:colOff>238125</xdr:colOff>
      <xdr:row>13</xdr:row>
      <xdr:rowOff>9525</xdr:rowOff>
    </xdr:to>
    <xdr:sp macro="" textlink="">
      <xdr:nvSpPr>
        <xdr:cNvPr id="9" name="Rectángulo: esquinas redondeadas 8">
          <a:hlinkClick xmlns:r="http://schemas.openxmlformats.org/officeDocument/2006/relationships" r:id="rId7"/>
          <a:extLst>
            <a:ext uri="{FF2B5EF4-FFF2-40B4-BE49-F238E27FC236}">
              <a16:creationId xmlns:a16="http://schemas.microsoft.com/office/drawing/2014/main" id="{C5F56ECD-A8B9-41A7-85BE-B6C6D1C0BCDC}"/>
            </a:ext>
          </a:extLst>
        </xdr:cNvPr>
        <xdr:cNvSpPr/>
      </xdr:nvSpPr>
      <xdr:spPr>
        <a:xfrm>
          <a:off x="4152900" y="499110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FNE</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2</xdr:col>
      <xdr:colOff>276225</xdr:colOff>
      <xdr:row>14</xdr:row>
      <xdr:rowOff>0</xdr:rowOff>
    </xdr:from>
    <xdr:to>
      <xdr:col>4</xdr:col>
      <xdr:colOff>257175</xdr:colOff>
      <xdr:row>15</xdr:row>
      <xdr:rowOff>104775</xdr:rowOff>
    </xdr:to>
    <xdr:sp macro="" textlink="">
      <xdr:nvSpPr>
        <xdr:cNvPr id="10" name="Rectángulo: esquinas redondeadas 9">
          <a:hlinkClick xmlns:r="http://schemas.openxmlformats.org/officeDocument/2006/relationships" r:id="rId8"/>
          <a:extLst>
            <a:ext uri="{FF2B5EF4-FFF2-40B4-BE49-F238E27FC236}">
              <a16:creationId xmlns:a16="http://schemas.microsoft.com/office/drawing/2014/main" id="{07D85530-C3A7-40B8-82A5-F2A95CCCCE9D}"/>
            </a:ext>
          </a:extLst>
        </xdr:cNvPr>
        <xdr:cNvSpPr/>
      </xdr:nvSpPr>
      <xdr:spPr>
        <a:xfrm>
          <a:off x="1800225" y="5467350"/>
          <a:ext cx="1504950"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Balance</a:t>
          </a:r>
          <a:r>
            <a:rPr lang="es-MX" sz="1100" baseline="0">
              <a:solidFill>
                <a:schemeClr val="accent1"/>
              </a:solidFill>
              <a:latin typeface="Courier New" panose="02070309020205020404" pitchFamily="49" charset="0"/>
              <a:cs typeface="Courier New" panose="02070309020205020404" pitchFamily="49" charset="0"/>
            </a:rPr>
            <a:t> General</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4</xdr:col>
      <xdr:colOff>342900</xdr:colOff>
      <xdr:row>13</xdr:row>
      <xdr:rowOff>161925</xdr:rowOff>
    </xdr:from>
    <xdr:to>
      <xdr:col>6</xdr:col>
      <xdr:colOff>381000</xdr:colOff>
      <xdr:row>16</xdr:row>
      <xdr:rowOff>104775</xdr:rowOff>
    </xdr:to>
    <xdr:sp macro="" textlink="">
      <xdr:nvSpPr>
        <xdr:cNvPr id="11" name="Rectángulo: esquinas redondeadas 10">
          <a:hlinkClick xmlns:r="http://schemas.openxmlformats.org/officeDocument/2006/relationships" r:id="rId9"/>
          <a:extLst>
            <a:ext uri="{FF2B5EF4-FFF2-40B4-BE49-F238E27FC236}">
              <a16:creationId xmlns:a16="http://schemas.microsoft.com/office/drawing/2014/main" id="{229EAD61-E7A4-40D1-8A74-D3EC50A6E1C8}"/>
            </a:ext>
          </a:extLst>
        </xdr:cNvPr>
        <xdr:cNvSpPr/>
      </xdr:nvSpPr>
      <xdr:spPr>
        <a:xfrm>
          <a:off x="3390900" y="5438775"/>
          <a:ext cx="1562100" cy="5143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Métodos</a:t>
          </a:r>
          <a:r>
            <a:rPr lang="es-MX" sz="1100" baseline="0">
              <a:solidFill>
                <a:schemeClr val="accent1"/>
              </a:solidFill>
              <a:latin typeface="Courier New" panose="02070309020205020404" pitchFamily="49" charset="0"/>
              <a:cs typeface="Courier New" panose="02070309020205020404" pitchFamily="49" charset="0"/>
            </a:rPr>
            <a:t> Evaluación</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3</xdr:col>
      <xdr:colOff>333375</xdr:colOff>
      <xdr:row>17</xdr:row>
      <xdr:rowOff>9525</xdr:rowOff>
    </xdr:from>
    <xdr:to>
      <xdr:col>5</xdr:col>
      <xdr:colOff>466725</xdr:colOff>
      <xdr:row>18</xdr:row>
      <xdr:rowOff>114300</xdr:rowOff>
    </xdr:to>
    <xdr:sp macro="" textlink="">
      <xdr:nvSpPr>
        <xdr:cNvPr id="12" name="Rectángulo: esquinas redondeadas 11">
          <a:hlinkClick xmlns:r="http://schemas.openxmlformats.org/officeDocument/2006/relationships" r:id="rId10"/>
          <a:extLst>
            <a:ext uri="{FF2B5EF4-FFF2-40B4-BE49-F238E27FC236}">
              <a16:creationId xmlns:a16="http://schemas.microsoft.com/office/drawing/2014/main" id="{AA759020-83B3-440F-AB0E-CFDC55FF6790}"/>
            </a:ext>
          </a:extLst>
        </xdr:cNvPr>
        <xdr:cNvSpPr/>
      </xdr:nvSpPr>
      <xdr:spPr>
        <a:xfrm>
          <a:off x="2619375" y="6048375"/>
          <a:ext cx="1657350"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Punto</a:t>
          </a:r>
          <a:r>
            <a:rPr lang="es-MX" sz="1100" baseline="0">
              <a:solidFill>
                <a:schemeClr val="accent1"/>
              </a:solidFill>
              <a:latin typeface="Courier New" panose="02070309020205020404" pitchFamily="49" charset="0"/>
              <a:cs typeface="Courier New" panose="02070309020205020404" pitchFamily="49" charset="0"/>
            </a:rPr>
            <a:t> Equilibrio</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314325</xdr:colOff>
      <xdr:row>79</xdr:row>
      <xdr:rowOff>38100</xdr:rowOff>
    </xdr:from>
    <xdr:to>
      <xdr:col>2</xdr:col>
      <xdr:colOff>209550</xdr:colOff>
      <xdr:row>80</xdr:row>
      <xdr:rowOff>142875</xdr:rowOff>
    </xdr:to>
    <xdr:sp macro="" textlink="">
      <xdr:nvSpPr>
        <xdr:cNvPr id="2" name="Rectángulo: esquinas redondeadas 1">
          <a:hlinkClick xmlns:r="http://schemas.openxmlformats.org/officeDocument/2006/relationships" r:id="rId1"/>
          <a:extLst>
            <a:ext uri="{FF2B5EF4-FFF2-40B4-BE49-F238E27FC236}">
              <a16:creationId xmlns:a16="http://schemas.microsoft.com/office/drawing/2014/main" id="{C1E378D1-4792-417A-B166-DD434F1232EB}"/>
            </a:ext>
          </a:extLst>
        </xdr:cNvPr>
        <xdr:cNvSpPr/>
      </xdr:nvSpPr>
      <xdr:spPr>
        <a:xfrm>
          <a:off x="314325" y="455295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Portada</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2</xdr:col>
      <xdr:colOff>333375</xdr:colOff>
      <xdr:row>79</xdr:row>
      <xdr:rowOff>38100</xdr:rowOff>
    </xdr:from>
    <xdr:to>
      <xdr:col>4</xdr:col>
      <xdr:colOff>228600</xdr:colOff>
      <xdr:row>80</xdr:row>
      <xdr:rowOff>142875</xdr:rowOff>
    </xdr:to>
    <xdr:sp macro="" textlink="">
      <xdr:nvSpPr>
        <xdr:cNvPr id="3" name="Rectángulo: esquinas redondeadas 2">
          <a:hlinkClick xmlns:r="http://schemas.openxmlformats.org/officeDocument/2006/relationships" r:id="rId2"/>
          <a:extLst>
            <a:ext uri="{FF2B5EF4-FFF2-40B4-BE49-F238E27FC236}">
              <a16:creationId xmlns:a16="http://schemas.microsoft.com/office/drawing/2014/main" id="{3C803A2D-5C2F-49DB-AF81-A2A1347B7A19}"/>
            </a:ext>
          </a:extLst>
        </xdr:cNvPr>
        <xdr:cNvSpPr/>
      </xdr:nvSpPr>
      <xdr:spPr>
        <a:xfrm>
          <a:off x="1857375" y="455295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Fundamentación</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4</xdr:col>
      <xdr:colOff>333375</xdr:colOff>
      <xdr:row>79</xdr:row>
      <xdr:rowOff>57150</xdr:rowOff>
    </xdr:from>
    <xdr:to>
      <xdr:col>6</xdr:col>
      <xdr:colOff>228600</xdr:colOff>
      <xdr:row>80</xdr:row>
      <xdr:rowOff>161925</xdr:rowOff>
    </xdr:to>
    <xdr:sp macro="" textlink="">
      <xdr:nvSpPr>
        <xdr:cNvPr id="4" name="Rectángulo: esquinas redondeadas 3">
          <a:hlinkClick xmlns:r="http://schemas.openxmlformats.org/officeDocument/2006/relationships" r:id="rId3"/>
          <a:extLst>
            <a:ext uri="{FF2B5EF4-FFF2-40B4-BE49-F238E27FC236}">
              <a16:creationId xmlns:a16="http://schemas.microsoft.com/office/drawing/2014/main" id="{F1F321A8-FD34-4EAE-9BF8-53E7BA88B9CE}"/>
            </a:ext>
          </a:extLst>
        </xdr:cNvPr>
        <xdr:cNvSpPr/>
      </xdr:nvSpPr>
      <xdr:spPr>
        <a:xfrm>
          <a:off x="3381375" y="457200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Objetivo</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6</xdr:col>
      <xdr:colOff>352425</xdr:colOff>
      <xdr:row>79</xdr:row>
      <xdr:rowOff>47625</xdr:rowOff>
    </xdr:from>
    <xdr:to>
      <xdr:col>8</xdr:col>
      <xdr:colOff>247650</xdr:colOff>
      <xdr:row>80</xdr:row>
      <xdr:rowOff>152400</xdr:rowOff>
    </xdr:to>
    <xdr:sp macro="" textlink="">
      <xdr:nvSpPr>
        <xdr:cNvPr id="5" name="Rectángulo: esquinas redondeadas 4">
          <a:hlinkClick xmlns:r="http://schemas.openxmlformats.org/officeDocument/2006/relationships" r:id="rId4"/>
          <a:extLst>
            <a:ext uri="{FF2B5EF4-FFF2-40B4-BE49-F238E27FC236}">
              <a16:creationId xmlns:a16="http://schemas.microsoft.com/office/drawing/2014/main" id="{EAE4A2A9-A1D7-475F-B019-28648CB5DFA8}"/>
            </a:ext>
          </a:extLst>
        </xdr:cNvPr>
        <xdr:cNvSpPr/>
      </xdr:nvSpPr>
      <xdr:spPr>
        <a:xfrm>
          <a:off x="4924425" y="4562475"/>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Datos</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xdr:col>
      <xdr:colOff>171450</xdr:colOff>
      <xdr:row>81</xdr:row>
      <xdr:rowOff>19049</xdr:rowOff>
    </xdr:from>
    <xdr:to>
      <xdr:col>3</xdr:col>
      <xdr:colOff>200025</xdr:colOff>
      <xdr:row>83</xdr:row>
      <xdr:rowOff>104774</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47393696-5C6F-4004-9855-176DB473EB3E}"/>
            </a:ext>
          </a:extLst>
        </xdr:cNvPr>
        <xdr:cNvSpPr/>
      </xdr:nvSpPr>
      <xdr:spPr>
        <a:xfrm>
          <a:off x="933450" y="4914899"/>
          <a:ext cx="1552575" cy="4667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Balance</a:t>
          </a:r>
          <a:r>
            <a:rPr lang="es-MX" sz="1100" baseline="0">
              <a:solidFill>
                <a:schemeClr val="accent1"/>
              </a:solidFill>
              <a:latin typeface="Courier New" panose="02070309020205020404" pitchFamily="49" charset="0"/>
              <a:cs typeface="Courier New" panose="02070309020205020404" pitchFamily="49" charset="0"/>
            </a:rPr>
            <a:t> General Incial</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3</xdr:col>
      <xdr:colOff>342900</xdr:colOff>
      <xdr:row>81</xdr:row>
      <xdr:rowOff>19050</xdr:rowOff>
    </xdr:from>
    <xdr:to>
      <xdr:col>5</xdr:col>
      <xdr:colOff>238125</xdr:colOff>
      <xdr:row>83</xdr:row>
      <xdr:rowOff>104775</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23E8D755-61F6-4C6C-A715-736AA746C80E}"/>
            </a:ext>
          </a:extLst>
        </xdr:cNvPr>
        <xdr:cNvSpPr/>
      </xdr:nvSpPr>
      <xdr:spPr>
        <a:xfrm>
          <a:off x="2628900" y="4914900"/>
          <a:ext cx="1419225" cy="4667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Estado</a:t>
          </a:r>
          <a:r>
            <a:rPr lang="es-MX" sz="1100" baseline="0">
              <a:solidFill>
                <a:schemeClr val="accent1"/>
              </a:solidFill>
              <a:latin typeface="Courier New" panose="02070309020205020404" pitchFamily="49" charset="0"/>
              <a:cs typeface="Courier New" panose="02070309020205020404" pitchFamily="49" charset="0"/>
            </a:rPr>
            <a:t> De Resultados</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5</xdr:col>
      <xdr:colOff>342900</xdr:colOff>
      <xdr:row>81</xdr:row>
      <xdr:rowOff>95250</xdr:rowOff>
    </xdr:from>
    <xdr:to>
      <xdr:col>7</xdr:col>
      <xdr:colOff>238125</xdr:colOff>
      <xdr:row>83</xdr:row>
      <xdr:rowOff>9525</xdr:rowOff>
    </xdr:to>
    <xdr:sp macro="" textlink="">
      <xdr:nvSpPr>
        <xdr:cNvPr id="8" name="Rectángulo: esquinas redondeadas 7">
          <a:hlinkClick xmlns:r="http://schemas.openxmlformats.org/officeDocument/2006/relationships" r:id="rId7"/>
          <a:extLst>
            <a:ext uri="{FF2B5EF4-FFF2-40B4-BE49-F238E27FC236}">
              <a16:creationId xmlns:a16="http://schemas.microsoft.com/office/drawing/2014/main" id="{3B531166-568B-4068-AE88-7599CB58C03F}"/>
            </a:ext>
          </a:extLst>
        </xdr:cNvPr>
        <xdr:cNvSpPr/>
      </xdr:nvSpPr>
      <xdr:spPr>
        <a:xfrm>
          <a:off x="4152900" y="499110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FNE</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2</xdr:col>
      <xdr:colOff>276225</xdr:colOff>
      <xdr:row>84</xdr:row>
      <xdr:rowOff>0</xdr:rowOff>
    </xdr:from>
    <xdr:to>
      <xdr:col>4</xdr:col>
      <xdr:colOff>257175</xdr:colOff>
      <xdr:row>85</xdr:row>
      <xdr:rowOff>104775</xdr:rowOff>
    </xdr:to>
    <xdr:sp macro="" textlink="">
      <xdr:nvSpPr>
        <xdr:cNvPr id="9" name="Rectángulo: esquinas redondeadas 8">
          <a:hlinkClick xmlns:r="http://schemas.openxmlformats.org/officeDocument/2006/relationships" r:id="rId8"/>
          <a:extLst>
            <a:ext uri="{FF2B5EF4-FFF2-40B4-BE49-F238E27FC236}">
              <a16:creationId xmlns:a16="http://schemas.microsoft.com/office/drawing/2014/main" id="{75D86F9E-712E-4EA2-BDEC-CAA3B5D5D368}"/>
            </a:ext>
          </a:extLst>
        </xdr:cNvPr>
        <xdr:cNvSpPr/>
      </xdr:nvSpPr>
      <xdr:spPr>
        <a:xfrm>
          <a:off x="1800225" y="5467350"/>
          <a:ext cx="1504950"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Balance</a:t>
          </a:r>
          <a:r>
            <a:rPr lang="es-MX" sz="1100" baseline="0">
              <a:solidFill>
                <a:schemeClr val="accent1"/>
              </a:solidFill>
              <a:latin typeface="Courier New" panose="02070309020205020404" pitchFamily="49" charset="0"/>
              <a:cs typeface="Courier New" panose="02070309020205020404" pitchFamily="49" charset="0"/>
            </a:rPr>
            <a:t> General</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4</xdr:col>
      <xdr:colOff>342900</xdr:colOff>
      <xdr:row>83</xdr:row>
      <xdr:rowOff>161925</xdr:rowOff>
    </xdr:from>
    <xdr:to>
      <xdr:col>6</xdr:col>
      <xdr:colOff>381000</xdr:colOff>
      <xdr:row>86</xdr:row>
      <xdr:rowOff>104775</xdr:rowOff>
    </xdr:to>
    <xdr:sp macro="" textlink="">
      <xdr:nvSpPr>
        <xdr:cNvPr id="10" name="Rectángulo: esquinas redondeadas 9">
          <a:hlinkClick xmlns:r="http://schemas.openxmlformats.org/officeDocument/2006/relationships" r:id="rId9"/>
          <a:extLst>
            <a:ext uri="{FF2B5EF4-FFF2-40B4-BE49-F238E27FC236}">
              <a16:creationId xmlns:a16="http://schemas.microsoft.com/office/drawing/2014/main" id="{B2097017-6F0E-4300-89C8-23DA7344094B}"/>
            </a:ext>
          </a:extLst>
        </xdr:cNvPr>
        <xdr:cNvSpPr/>
      </xdr:nvSpPr>
      <xdr:spPr>
        <a:xfrm>
          <a:off x="3390900" y="5438775"/>
          <a:ext cx="1562100" cy="5143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Métodos</a:t>
          </a:r>
          <a:r>
            <a:rPr lang="es-MX" sz="1100" baseline="0">
              <a:solidFill>
                <a:schemeClr val="accent1"/>
              </a:solidFill>
              <a:latin typeface="Courier New" panose="02070309020205020404" pitchFamily="49" charset="0"/>
              <a:cs typeface="Courier New" panose="02070309020205020404" pitchFamily="49" charset="0"/>
            </a:rPr>
            <a:t> Evaluación</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3</xdr:col>
      <xdr:colOff>333375</xdr:colOff>
      <xdr:row>87</xdr:row>
      <xdr:rowOff>9525</xdr:rowOff>
    </xdr:from>
    <xdr:to>
      <xdr:col>5</xdr:col>
      <xdr:colOff>466725</xdr:colOff>
      <xdr:row>88</xdr:row>
      <xdr:rowOff>114300</xdr:rowOff>
    </xdr:to>
    <xdr:sp macro="" textlink="">
      <xdr:nvSpPr>
        <xdr:cNvPr id="11" name="Rectángulo: esquinas redondeadas 10">
          <a:hlinkClick xmlns:r="http://schemas.openxmlformats.org/officeDocument/2006/relationships" r:id="rId10"/>
          <a:extLst>
            <a:ext uri="{FF2B5EF4-FFF2-40B4-BE49-F238E27FC236}">
              <a16:creationId xmlns:a16="http://schemas.microsoft.com/office/drawing/2014/main" id="{174FA029-59F1-4DAA-8890-93EE4A21C42E}"/>
            </a:ext>
          </a:extLst>
        </xdr:cNvPr>
        <xdr:cNvSpPr/>
      </xdr:nvSpPr>
      <xdr:spPr>
        <a:xfrm>
          <a:off x="2619375" y="6048375"/>
          <a:ext cx="1657350"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Punto</a:t>
          </a:r>
          <a:r>
            <a:rPr lang="es-MX" sz="1100" baseline="0">
              <a:solidFill>
                <a:schemeClr val="accent1"/>
              </a:solidFill>
              <a:latin typeface="Courier New" panose="02070309020205020404" pitchFamily="49" charset="0"/>
              <a:cs typeface="Courier New" panose="02070309020205020404" pitchFamily="49" charset="0"/>
            </a:rPr>
            <a:t> Equilibrio</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314325</xdr:colOff>
      <xdr:row>21</xdr:row>
      <xdr:rowOff>38100</xdr:rowOff>
    </xdr:from>
    <xdr:to>
      <xdr:col>2</xdr:col>
      <xdr:colOff>209550</xdr:colOff>
      <xdr:row>22</xdr:row>
      <xdr:rowOff>142875</xdr:rowOff>
    </xdr:to>
    <xdr:sp macro="" textlink="">
      <xdr:nvSpPr>
        <xdr:cNvPr id="2" name="Rectángulo: esquinas redondeadas 1">
          <a:hlinkClick xmlns:r="http://schemas.openxmlformats.org/officeDocument/2006/relationships" r:id="rId1"/>
          <a:extLst>
            <a:ext uri="{FF2B5EF4-FFF2-40B4-BE49-F238E27FC236}">
              <a16:creationId xmlns:a16="http://schemas.microsoft.com/office/drawing/2014/main" id="{BBFEE2B0-8649-44E9-9CA3-9C77F427A49B}"/>
            </a:ext>
          </a:extLst>
        </xdr:cNvPr>
        <xdr:cNvSpPr/>
      </xdr:nvSpPr>
      <xdr:spPr>
        <a:xfrm>
          <a:off x="314325" y="455295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Portada</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2</xdr:col>
      <xdr:colOff>333375</xdr:colOff>
      <xdr:row>21</xdr:row>
      <xdr:rowOff>38100</xdr:rowOff>
    </xdr:from>
    <xdr:to>
      <xdr:col>4</xdr:col>
      <xdr:colOff>228600</xdr:colOff>
      <xdr:row>22</xdr:row>
      <xdr:rowOff>142875</xdr:rowOff>
    </xdr:to>
    <xdr:sp macro="" textlink="">
      <xdr:nvSpPr>
        <xdr:cNvPr id="3" name="Rectángulo: esquinas redondeadas 2">
          <a:hlinkClick xmlns:r="http://schemas.openxmlformats.org/officeDocument/2006/relationships" r:id="rId2"/>
          <a:extLst>
            <a:ext uri="{FF2B5EF4-FFF2-40B4-BE49-F238E27FC236}">
              <a16:creationId xmlns:a16="http://schemas.microsoft.com/office/drawing/2014/main" id="{829FB4BA-5D16-4676-BC41-25091133C969}"/>
            </a:ext>
          </a:extLst>
        </xdr:cNvPr>
        <xdr:cNvSpPr/>
      </xdr:nvSpPr>
      <xdr:spPr>
        <a:xfrm>
          <a:off x="1857375" y="455295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Fundamentación</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4</xdr:col>
      <xdr:colOff>333375</xdr:colOff>
      <xdr:row>21</xdr:row>
      <xdr:rowOff>57150</xdr:rowOff>
    </xdr:from>
    <xdr:to>
      <xdr:col>6</xdr:col>
      <xdr:colOff>228600</xdr:colOff>
      <xdr:row>22</xdr:row>
      <xdr:rowOff>161925</xdr:rowOff>
    </xdr:to>
    <xdr:sp macro="" textlink="">
      <xdr:nvSpPr>
        <xdr:cNvPr id="4" name="Rectángulo: esquinas redondeadas 3">
          <a:hlinkClick xmlns:r="http://schemas.openxmlformats.org/officeDocument/2006/relationships" r:id="rId3"/>
          <a:extLst>
            <a:ext uri="{FF2B5EF4-FFF2-40B4-BE49-F238E27FC236}">
              <a16:creationId xmlns:a16="http://schemas.microsoft.com/office/drawing/2014/main" id="{04E92562-D2CA-4457-B5C5-0E3A0DB4B1FA}"/>
            </a:ext>
          </a:extLst>
        </xdr:cNvPr>
        <xdr:cNvSpPr/>
      </xdr:nvSpPr>
      <xdr:spPr>
        <a:xfrm>
          <a:off x="3381375" y="457200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Objetivo</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6</xdr:col>
      <xdr:colOff>352425</xdr:colOff>
      <xdr:row>21</xdr:row>
      <xdr:rowOff>47625</xdr:rowOff>
    </xdr:from>
    <xdr:to>
      <xdr:col>8</xdr:col>
      <xdr:colOff>247650</xdr:colOff>
      <xdr:row>22</xdr:row>
      <xdr:rowOff>152400</xdr:rowOff>
    </xdr:to>
    <xdr:sp macro="" textlink="">
      <xdr:nvSpPr>
        <xdr:cNvPr id="5" name="Rectángulo: esquinas redondeadas 4">
          <a:hlinkClick xmlns:r="http://schemas.openxmlformats.org/officeDocument/2006/relationships" r:id="rId4"/>
          <a:extLst>
            <a:ext uri="{FF2B5EF4-FFF2-40B4-BE49-F238E27FC236}">
              <a16:creationId xmlns:a16="http://schemas.microsoft.com/office/drawing/2014/main" id="{9D5B97E8-638F-4959-B7DE-5721D1DE94E6}"/>
            </a:ext>
          </a:extLst>
        </xdr:cNvPr>
        <xdr:cNvSpPr/>
      </xdr:nvSpPr>
      <xdr:spPr>
        <a:xfrm>
          <a:off x="4924425" y="4562475"/>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Datos</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xdr:col>
      <xdr:colOff>171450</xdr:colOff>
      <xdr:row>23</xdr:row>
      <xdr:rowOff>19049</xdr:rowOff>
    </xdr:from>
    <xdr:to>
      <xdr:col>3</xdr:col>
      <xdr:colOff>200025</xdr:colOff>
      <xdr:row>25</xdr:row>
      <xdr:rowOff>104774</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78C8AC1E-6C5B-4D62-BCE4-9FD8126DB5B3}"/>
            </a:ext>
          </a:extLst>
        </xdr:cNvPr>
        <xdr:cNvSpPr/>
      </xdr:nvSpPr>
      <xdr:spPr>
        <a:xfrm>
          <a:off x="933450" y="4914899"/>
          <a:ext cx="1552575" cy="4667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Balance</a:t>
          </a:r>
          <a:r>
            <a:rPr lang="es-MX" sz="1100" baseline="0">
              <a:solidFill>
                <a:schemeClr val="accent1"/>
              </a:solidFill>
              <a:latin typeface="Courier New" panose="02070309020205020404" pitchFamily="49" charset="0"/>
              <a:cs typeface="Courier New" panose="02070309020205020404" pitchFamily="49" charset="0"/>
            </a:rPr>
            <a:t> General Incial</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3</xdr:col>
      <xdr:colOff>342900</xdr:colOff>
      <xdr:row>23</xdr:row>
      <xdr:rowOff>19050</xdr:rowOff>
    </xdr:from>
    <xdr:to>
      <xdr:col>5</xdr:col>
      <xdr:colOff>238125</xdr:colOff>
      <xdr:row>25</xdr:row>
      <xdr:rowOff>104775</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5FD1CB00-3253-47B3-9AA4-664AE2CC6707}"/>
            </a:ext>
          </a:extLst>
        </xdr:cNvPr>
        <xdr:cNvSpPr/>
      </xdr:nvSpPr>
      <xdr:spPr>
        <a:xfrm>
          <a:off x="2628900" y="4914900"/>
          <a:ext cx="1419225" cy="4667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Estado</a:t>
          </a:r>
          <a:r>
            <a:rPr lang="es-MX" sz="1100" baseline="0">
              <a:solidFill>
                <a:schemeClr val="accent1"/>
              </a:solidFill>
              <a:latin typeface="Courier New" panose="02070309020205020404" pitchFamily="49" charset="0"/>
              <a:cs typeface="Courier New" panose="02070309020205020404" pitchFamily="49" charset="0"/>
            </a:rPr>
            <a:t> De Resultados</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5</xdr:col>
      <xdr:colOff>342900</xdr:colOff>
      <xdr:row>23</xdr:row>
      <xdr:rowOff>95250</xdr:rowOff>
    </xdr:from>
    <xdr:to>
      <xdr:col>7</xdr:col>
      <xdr:colOff>238125</xdr:colOff>
      <xdr:row>25</xdr:row>
      <xdr:rowOff>9525</xdr:rowOff>
    </xdr:to>
    <xdr:sp macro="" textlink="">
      <xdr:nvSpPr>
        <xdr:cNvPr id="8" name="Rectángulo: esquinas redondeadas 7">
          <a:hlinkClick xmlns:r="http://schemas.openxmlformats.org/officeDocument/2006/relationships" r:id="rId7"/>
          <a:extLst>
            <a:ext uri="{FF2B5EF4-FFF2-40B4-BE49-F238E27FC236}">
              <a16:creationId xmlns:a16="http://schemas.microsoft.com/office/drawing/2014/main" id="{0515C9DD-958F-479E-A0FB-27FB6A183E0A}"/>
            </a:ext>
          </a:extLst>
        </xdr:cNvPr>
        <xdr:cNvSpPr/>
      </xdr:nvSpPr>
      <xdr:spPr>
        <a:xfrm>
          <a:off x="4152900" y="499110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FNE</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2</xdr:col>
      <xdr:colOff>276225</xdr:colOff>
      <xdr:row>26</xdr:row>
      <xdr:rowOff>0</xdr:rowOff>
    </xdr:from>
    <xdr:to>
      <xdr:col>4</xdr:col>
      <xdr:colOff>257175</xdr:colOff>
      <xdr:row>27</xdr:row>
      <xdr:rowOff>104775</xdr:rowOff>
    </xdr:to>
    <xdr:sp macro="" textlink="">
      <xdr:nvSpPr>
        <xdr:cNvPr id="9" name="Rectángulo: esquinas redondeadas 8">
          <a:hlinkClick xmlns:r="http://schemas.openxmlformats.org/officeDocument/2006/relationships" r:id="rId8"/>
          <a:extLst>
            <a:ext uri="{FF2B5EF4-FFF2-40B4-BE49-F238E27FC236}">
              <a16:creationId xmlns:a16="http://schemas.microsoft.com/office/drawing/2014/main" id="{59E9DF39-0915-47C2-A333-B68E004D3421}"/>
            </a:ext>
          </a:extLst>
        </xdr:cNvPr>
        <xdr:cNvSpPr/>
      </xdr:nvSpPr>
      <xdr:spPr>
        <a:xfrm>
          <a:off x="1800225" y="5467350"/>
          <a:ext cx="1504950"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Balance</a:t>
          </a:r>
          <a:r>
            <a:rPr lang="es-MX" sz="1100" baseline="0">
              <a:solidFill>
                <a:schemeClr val="accent1"/>
              </a:solidFill>
              <a:latin typeface="Courier New" panose="02070309020205020404" pitchFamily="49" charset="0"/>
              <a:cs typeface="Courier New" panose="02070309020205020404" pitchFamily="49" charset="0"/>
            </a:rPr>
            <a:t> General</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4</xdr:col>
      <xdr:colOff>342900</xdr:colOff>
      <xdr:row>25</xdr:row>
      <xdr:rowOff>161925</xdr:rowOff>
    </xdr:from>
    <xdr:to>
      <xdr:col>6</xdr:col>
      <xdr:colOff>381000</xdr:colOff>
      <xdr:row>28</xdr:row>
      <xdr:rowOff>104775</xdr:rowOff>
    </xdr:to>
    <xdr:sp macro="" textlink="">
      <xdr:nvSpPr>
        <xdr:cNvPr id="10" name="Rectángulo: esquinas redondeadas 9">
          <a:hlinkClick xmlns:r="http://schemas.openxmlformats.org/officeDocument/2006/relationships" r:id="rId9"/>
          <a:extLst>
            <a:ext uri="{FF2B5EF4-FFF2-40B4-BE49-F238E27FC236}">
              <a16:creationId xmlns:a16="http://schemas.microsoft.com/office/drawing/2014/main" id="{7731BCD4-06B7-4B9E-8D74-4634DCB361DA}"/>
            </a:ext>
          </a:extLst>
        </xdr:cNvPr>
        <xdr:cNvSpPr/>
      </xdr:nvSpPr>
      <xdr:spPr>
        <a:xfrm>
          <a:off x="3390900" y="5438775"/>
          <a:ext cx="1562100" cy="5143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Métodos</a:t>
          </a:r>
          <a:r>
            <a:rPr lang="es-MX" sz="1100" baseline="0">
              <a:solidFill>
                <a:schemeClr val="accent1"/>
              </a:solidFill>
              <a:latin typeface="Courier New" panose="02070309020205020404" pitchFamily="49" charset="0"/>
              <a:cs typeface="Courier New" panose="02070309020205020404" pitchFamily="49" charset="0"/>
            </a:rPr>
            <a:t> Evaluación</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3</xdr:col>
      <xdr:colOff>333375</xdr:colOff>
      <xdr:row>29</xdr:row>
      <xdr:rowOff>9525</xdr:rowOff>
    </xdr:from>
    <xdr:to>
      <xdr:col>5</xdr:col>
      <xdr:colOff>466725</xdr:colOff>
      <xdr:row>30</xdr:row>
      <xdr:rowOff>114300</xdr:rowOff>
    </xdr:to>
    <xdr:sp macro="" textlink="">
      <xdr:nvSpPr>
        <xdr:cNvPr id="11" name="Rectángulo: esquinas redondeadas 10">
          <a:hlinkClick xmlns:r="http://schemas.openxmlformats.org/officeDocument/2006/relationships" r:id="rId10"/>
          <a:extLst>
            <a:ext uri="{FF2B5EF4-FFF2-40B4-BE49-F238E27FC236}">
              <a16:creationId xmlns:a16="http://schemas.microsoft.com/office/drawing/2014/main" id="{341B00B1-27FA-4159-B1E2-1448110ECE93}"/>
            </a:ext>
          </a:extLst>
        </xdr:cNvPr>
        <xdr:cNvSpPr/>
      </xdr:nvSpPr>
      <xdr:spPr>
        <a:xfrm>
          <a:off x="2619375" y="6048375"/>
          <a:ext cx="1657350"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Punto</a:t>
          </a:r>
          <a:r>
            <a:rPr lang="es-MX" sz="1100" baseline="0">
              <a:solidFill>
                <a:schemeClr val="accent1"/>
              </a:solidFill>
              <a:latin typeface="Courier New" panose="02070309020205020404" pitchFamily="49" charset="0"/>
              <a:cs typeface="Courier New" panose="02070309020205020404" pitchFamily="49" charset="0"/>
            </a:rPr>
            <a:t> Equilibrio</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314325</xdr:colOff>
      <xdr:row>45</xdr:row>
      <xdr:rowOff>38100</xdr:rowOff>
    </xdr:from>
    <xdr:to>
      <xdr:col>3</xdr:col>
      <xdr:colOff>209550</xdr:colOff>
      <xdr:row>46</xdr:row>
      <xdr:rowOff>142875</xdr:rowOff>
    </xdr:to>
    <xdr:sp macro="" textlink="">
      <xdr:nvSpPr>
        <xdr:cNvPr id="2" name="Rectángulo: esquinas redondeadas 1">
          <a:hlinkClick xmlns:r="http://schemas.openxmlformats.org/officeDocument/2006/relationships" r:id="rId1"/>
          <a:extLst>
            <a:ext uri="{FF2B5EF4-FFF2-40B4-BE49-F238E27FC236}">
              <a16:creationId xmlns:a16="http://schemas.microsoft.com/office/drawing/2014/main" id="{00A89193-78D6-40FC-95B3-9C9C30300225}"/>
            </a:ext>
          </a:extLst>
        </xdr:cNvPr>
        <xdr:cNvSpPr/>
      </xdr:nvSpPr>
      <xdr:spPr>
        <a:xfrm>
          <a:off x="314325" y="455295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Portada</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3</xdr:col>
      <xdr:colOff>333375</xdr:colOff>
      <xdr:row>45</xdr:row>
      <xdr:rowOff>38100</xdr:rowOff>
    </xdr:from>
    <xdr:to>
      <xdr:col>5</xdr:col>
      <xdr:colOff>228600</xdr:colOff>
      <xdr:row>46</xdr:row>
      <xdr:rowOff>142875</xdr:rowOff>
    </xdr:to>
    <xdr:sp macro="" textlink="">
      <xdr:nvSpPr>
        <xdr:cNvPr id="3" name="Rectángulo: esquinas redondeadas 2">
          <a:hlinkClick xmlns:r="http://schemas.openxmlformats.org/officeDocument/2006/relationships" r:id="rId2"/>
          <a:extLst>
            <a:ext uri="{FF2B5EF4-FFF2-40B4-BE49-F238E27FC236}">
              <a16:creationId xmlns:a16="http://schemas.microsoft.com/office/drawing/2014/main" id="{73F8BC9E-CE88-4F57-9836-E4086ECB698C}"/>
            </a:ext>
          </a:extLst>
        </xdr:cNvPr>
        <xdr:cNvSpPr/>
      </xdr:nvSpPr>
      <xdr:spPr>
        <a:xfrm>
          <a:off x="1857375" y="455295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Fundamentación</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5</xdr:col>
      <xdr:colOff>333375</xdr:colOff>
      <xdr:row>45</xdr:row>
      <xdr:rowOff>57150</xdr:rowOff>
    </xdr:from>
    <xdr:to>
      <xdr:col>7</xdr:col>
      <xdr:colOff>228600</xdr:colOff>
      <xdr:row>46</xdr:row>
      <xdr:rowOff>161925</xdr:rowOff>
    </xdr:to>
    <xdr:sp macro="" textlink="">
      <xdr:nvSpPr>
        <xdr:cNvPr id="4" name="Rectángulo: esquinas redondeadas 3">
          <a:hlinkClick xmlns:r="http://schemas.openxmlformats.org/officeDocument/2006/relationships" r:id="rId3"/>
          <a:extLst>
            <a:ext uri="{FF2B5EF4-FFF2-40B4-BE49-F238E27FC236}">
              <a16:creationId xmlns:a16="http://schemas.microsoft.com/office/drawing/2014/main" id="{B8D258AB-7186-440B-A20F-68DEE4599BB8}"/>
            </a:ext>
          </a:extLst>
        </xdr:cNvPr>
        <xdr:cNvSpPr/>
      </xdr:nvSpPr>
      <xdr:spPr>
        <a:xfrm>
          <a:off x="3381375" y="457200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Objetivo</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7</xdr:col>
      <xdr:colOff>352425</xdr:colOff>
      <xdr:row>45</xdr:row>
      <xdr:rowOff>47625</xdr:rowOff>
    </xdr:from>
    <xdr:to>
      <xdr:col>9</xdr:col>
      <xdr:colOff>247650</xdr:colOff>
      <xdr:row>46</xdr:row>
      <xdr:rowOff>152400</xdr:rowOff>
    </xdr:to>
    <xdr:sp macro="" textlink="">
      <xdr:nvSpPr>
        <xdr:cNvPr id="5" name="Rectángulo: esquinas redondeadas 4">
          <a:hlinkClick xmlns:r="http://schemas.openxmlformats.org/officeDocument/2006/relationships" r:id="rId4"/>
          <a:extLst>
            <a:ext uri="{FF2B5EF4-FFF2-40B4-BE49-F238E27FC236}">
              <a16:creationId xmlns:a16="http://schemas.microsoft.com/office/drawing/2014/main" id="{7EA82B0E-7108-4D19-AA42-BC121D2F3D70}"/>
            </a:ext>
          </a:extLst>
        </xdr:cNvPr>
        <xdr:cNvSpPr/>
      </xdr:nvSpPr>
      <xdr:spPr>
        <a:xfrm>
          <a:off x="4924425" y="4562475"/>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Datos</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2</xdr:col>
      <xdr:colOff>171450</xdr:colOff>
      <xdr:row>47</xdr:row>
      <xdr:rowOff>19049</xdr:rowOff>
    </xdr:from>
    <xdr:to>
      <xdr:col>4</xdr:col>
      <xdr:colOff>200025</xdr:colOff>
      <xdr:row>49</xdr:row>
      <xdr:rowOff>104774</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7FEEC839-52EB-4B96-8C34-AFD0C673B6CE}"/>
            </a:ext>
          </a:extLst>
        </xdr:cNvPr>
        <xdr:cNvSpPr/>
      </xdr:nvSpPr>
      <xdr:spPr>
        <a:xfrm>
          <a:off x="933450" y="4914899"/>
          <a:ext cx="1552575" cy="4667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Balance</a:t>
          </a:r>
          <a:r>
            <a:rPr lang="es-MX" sz="1100" baseline="0">
              <a:solidFill>
                <a:schemeClr val="accent1"/>
              </a:solidFill>
              <a:latin typeface="Courier New" panose="02070309020205020404" pitchFamily="49" charset="0"/>
              <a:cs typeface="Courier New" panose="02070309020205020404" pitchFamily="49" charset="0"/>
            </a:rPr>
            <a:t> General Incial</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4</xdr:col>
      <xdr:colOff>342900</xdr:colOff>
      <xdr:row>47</xdr:row>
      <xdr:rowOff>19050</xdr:rowOff>
    </xdr:from>
    <xdr:to>
      <xdr:col>6</xdr:col>
      <xdr:colOff>238125</xdr:colOff>
      <xdr:row>49</xdr:row>
      <xdr:rowOff>104775</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537A2B7B-57FD-4ED8-AE42-E1D1064CE37F}"/>
            </a:ext>
          </a:extLst>
        </xdr:cNvPr>
        <xdr:cNvSpPr/>
      </xdr:nvSpPr>
      <xdr:spPr>
        <a:xfrm>
          <a:off x="2628900" y="4914900"/>
          <a:ext cx="1419225" cy="4667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Estado</a:t>
          </a:r>
          <a:r>
            <a:rPr lang="es-MX" sz="1100" baseline="0">
              <a:solidFill>
                <a:schemeClr val="accent1"/>
              </a:solidFill>
              <a:latin typeface="Courier New" panose="02070309020205020404" pitchFamily="49" charset="0"/>
              <a:cs typeface="Courier New" panose="02070309020205020404" pitchFamily="49" charset="0"/>
            </a:rPr>
            <a:t> De Resultados</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6</xdr:col>
      <xdr:colOff>342900</xdr:colOff>
      <xdr:row>47</xdr:row>
      <xdr:rowOff>95250</xdr:rowOff>
    </xdr:from>
    <xdr:to>
      <xdr:col>8</xdr:col>
      <xdr:colOff>238125</xdr:colOff>
      <xdr:row>49</xdr:row>
      <xdr:rowOff>9525</xdr:rowOff>
    </xdr:to>
    <xdr:sp macro="" textlink="">
      <xdr:nvSpPr>
        <xdr:cNvPr id="8" name="Rectángulo: esquinas redondeadas 7">
          <a:hlinkClick xmlns:r="http://schemas.openxmlformats.org/officeDocument/2006/relationships" r:id="rId7"/>
          <a:extLst>
            <a:ext uri="{FF2B5EF4-FFF2-40B4-BE49-F238E27FC236}">
              <a16:creationId xmlns:a16="http://schemas.microsoft.com/office/drawing/2014/main" id="{1FDBB239-2B21-4F8F-AEFD-F8D9B17369E0}"/>
            </a:ext>
          </a:extLst>
        </xdr:cNvPr>
        <xdr:cNvSpPr/>
      </xdr:nvSpPr>
      <xdr:spPr>
        <a:xfrm>
          <a:off x="4152900" y="499110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FNE</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3</xdr:col>
      <xdr:colOff>276225</xdr:colOff>
      <xdr:row>50</xdr:row>
      <xdr:rowOff>0</xdr:rowOff>
    </xdr:from>
    <xdr:to>
      <xdr:col>5</xdr:col>
      <xdr:colOff>257175</xdr:colOff>
      <xdr:row>51</xdr:row>
      <xdr:rowOff>104775</xdr:rowOff>
    </xdr:to>
    <xdr:sp macro="" textlink="">
      <xdr:nvSpPr>
        <xdr:cNvPr id="9" name="Rectángulo: esquinas redondeadas 8">
          <a:hlinkClick xmlns:r="http://schemas.openxmlformats.org/officeDocument/2006/relationships" r:id="rId8"/>
          <a:extLst>
            <a:ext uri="{FF2B5EF4-FFF2-40B4-BE49-F238E27FC236}">
              <a16:creationId xmlns:a16="http://schemas.microsoft.com/office/drawing/2014/main" id="{2462E8A2-C334-4581-98AC-C9697D87EFFB}"/>
            </a:ext>
          </a:extLst>
        </xdr:cNvPr>
        <xdr:cNvSpPr/>
      </xdr:nvSpPr>
      <xdr:spPr>
        <a:xfrm>
          <a:off x="1800225" y="5467350"/>
          <a:ext cx="1504950"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Balance</a:t>
          </a:r>
          <a:r>
            <a:rPr lang="es-MX" sz="1100" baseline="0">
              <a:solidFill>
                <a:schemeClr val="accent1"/>
              </a:solidFill>
              <a:latin typeface="Courier New" panose="02070309020205020404" pitchFamily="49" charset="0"/>
              <a:cs typeface="Courier New" panose="02070309020205020404" pitchFamily="49" charset="0"/>
            </a:rPr>
            <a:t> General</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5</xdr:col>
      <xdr:colOff>342900</xdr:colOff>
      <xdr:row>49</xdr:row>
      <xdr:rowOff>161925</xdr:rowOff>
    </xdr:from>
    <xdr:to>
      <xdr:col>7</xdr:col>
      <xdr:colOff>381000</xdr:colOff>
      <xdr:row>52</xdr:row>
      <xdr:rowOff>104775</xdr:rowOff>
    </xdr:to>
    <xdr:sp macro="" textlink="">
      <xdr:nvSpPr>
        <xdr:cNvPr id="10" name="Rectángulo: esquinas redondeadas 9">
          <a:hlinkClick xmlns:r="http://schemas.openxmlformats.org/officeDocument/2006/relationships" r:id="rId9"/>
          <a:extLst>
            <a:ext uri="{FF2B5EF4-FFF2-40B4-BE49-F238E27FC236}">
              <a16:creationId xmlns:a16="http://schemas.microsoft.com/office/drawing/2014/main" id="{554094D4-A703-40C8-8FCF-5A4C6F5B6C65}"/>
            </a:ext>
          </a:extLst>
        </xdr:cNvPr>
        <xdr:cNvSpPr/>
      </xdr:nvSpPr>
      <xdr:spPr>
        <a:xfrm>
          <a:off x="3390900" y="5438775"/>
          <a:ext cx="1562100" cy="5143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Métodos</a:t>
          </a:r>
          <a:r>
            <a:rPr lang="es-MX" sz="1100" baseline="0">
              <a:solidFill>
                <a:schemeClr val="accent1"/>
              </a:solidFill>
              <a:latin typeface="Courier New" panose="02070309020205020404" pitchFamily="49" charset="0"/>
              <a:cs typeface="Courier New" panose="02070309020205020404" pitchFamily="49" charset="0"/>
            </a:rPr>
            <a:t> Evaluación</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4</xdr:col>
      <xdr:colOff>333375</xdr:colOff>
      <xdr:row>53</xdr:row>
      <xdr:rowOff>9525</xdr:rowOff>
    </xdr:from>
    <xdr:to>
      <xdr:col>6</xdr:col>
      <xdr:colOff>466725</xdr:colOff>
      <xdr:row>54</xdr:row>
      <xdr:rowOff>114300</xdr:rowOff>
    </xdr:to>
    <xdr:sp macro="" textlink="">
      <xdr:nvSpPr>
        <xdr:cNvPr id="11" name="Rectángulo: esquinas redondeadas 10">
          <a:hlinkClick xmlns:r="http://schemas.openxmlformats.org/officeDocument/2006/relationships" r:id="rId10"/>
          <a:extLst>
            <a:ext uri="{FF2B5EF4-FFF2-40B4-BE49-F238E27FC236}">
              <a16:creationId xmlns:a16="http://schemas.microsoft.com/office/drawing/2014/main" id="{E12365BA-F2DB-4472-8136-02DA3F82C2DA}"/>
            </a:ext>
          </a:extLst>
        </xdr:cNvPr>
        <xdr:cNvSpPr/>
      </xdr:nvSpPr>
      <xdr:spPr>
        <a:xfrm>
          <a:off x="2619375" y="6048375"/>
          <a:ext cx="1657350"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Punto</a:t>
          </a:r>
          <a:r>
            <a:rPr lang="es-MX" sz="1100" baseline="0">
              <a:solidFill>
                <a:schemeClr val="accent1"/>
              </a:solidFill>
              <a:latin typeface="Courier New" panose="02070309020205020404" pitchFamily="49" charset="0"/>
              <a:cs typeface="Courier New" panose="02070309020205020404" pitchFamily="49" charset="0"/>
            </a:rPr>
            <a:t> Equilibrio</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314325</xdr:colOff>
      <xdr:row>15</xdr:row>
      <xdr:rowOff>38100</xdr:rowOff>
    </xdr:from>
    <xdr:to>
      <xdr:col>2</xdr:col>
      <xdr:colOff>209550</xdr:colOff>
      <xdr:row>16</xdr:row>
      <xdr:rowOff>142875</xdr:rowOff>
    </xdr:to>
    <xdr:sp macro="" textlink="">
      <xdr:nvSpPr>
        <xdr:cNvPr id="2" name="Rectángulo: esquinas redondeadas 1">
          <a:hlinkClick xmlns:r="http://schemas.openxmlformats.org/officeDocument/2006/relationships" r:id="rId1"/>
          <a:extLst>
            <a:ext uri="{FF2B5EF4-FFF2-40B4-BE49-F238E27FC236}">
              <a16:creationId xmlns:a16="http://schemas.microsoft.com/office/drawing/2014/main" id="{C07B3214-18C9-4D3B-BC77-BE87A323A2BE}"/>
            </a:ext>
          </a:extLst>
        </xdr:cNvPr>
        <xdr:cNvSpPr/>
      </xdr:nvSpPr>
      <xdr:spPr>
        <a:xfrm>
          <a:off x="314325" y="455295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Portada</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2</xdr:col>
      <xdr:colOff>333375</xdr:colOff>
      <xdr:row>15</xdr:row>
      <xdr:rowOff>38100</xdr:rowOff>
    </xdr:from>
    <xdr:to>
      <xdr:col>4</xdr:col>
      <xdr:colOff>228600</xdr:colOff>
      <xdr:row>16</xdr:row>
      <xdr:rowOff>142875</xdr:rowOff>
    </xdr:to>
    <xdr:sp macro="" textlink="">
      <xdr:nvSpPr>
        <xdr:cNvPr id="3" name="Rectángulo: esquinas redondeadas 2">
          <a:hlinkClick xmlns:r="http://schemas.openxmlformats.org/officeDocument/2006/relationships" r:id="rId2"/>
          <a:extLst>
            <a:ext uri="{FF2B5EF4-FFF2-40B4-BE49-F238E27FC236}">
              <a16:creationId xmlns:a16="http://schemas.microsoft.com/office/drawing/2014/main" id="{8B3090E5-6908-4C62-8D98-4571F3FCD477}"/>
            </a:ext>
          </a:extLst>
        </xdr:cNvPr>
        <xdr:cNvSpPr/>
      </xdr:nvSpPr>
      <xdr:spPr>
        <a:xfrm>
          <a:off x="1857375" y="455295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Fundamentación</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4</xdr:col>
      <xdr:colOff>333375</xdr:colOff>
      <xdr:row>15</xdr:row>
      <xdr:rowOff>57150</xdr:rowOff>
    </xdr:from>
    <xdr:to>
      <xdr:col>6</xdr:col>
      <xdr:colOff>228600</xdr:colOff>
      <xdr:row>16</xdr:row>
      <xdr:rowOff>161925</xdr:rowOff>
    </xdr:to>
    <xdr:sp macro="" textlink="">
      <xdr:nvSpPr>
        <xdr:cNvPr id="4" name="Rectángulo: esquinas redondeadas 3">
          <a:hlinkClick xmlns:r="http://schemas.openxmlformats.org/officeDocument/2006/relationships" r:id="rId3"/>
          <a:extLst>
            <a:ext uri="{FF2B5EF4-FFF2-40B4-BE49-F238E27FC236}">
              <a16:creationId xmlns:a16="http://schemas.microsoft.com/office/drawing/2014/main" id="{E6242F27-9786-4921-A0B9-52EF6DF7C036}"/>
            </a:ext>
          </a:extLst>
        </xdr:cNvPr>
        <xdr:cNvSpPr/>
      </xdr:nvSpPr>
      <xdr:spPr>
        <a:xfrm>
          <a:off x="3381375" y="457200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Objetivo</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6</xdr:col>
      <xdr:colOff>352425</xdr:colOff>
      <xdr:row>15</xdr:row>
      <xdr:rowOff>47625</xdr:rowOff>
    </xdr:from>
    <xdr:to>
      <xdr:col>8</xdr:col>
      <xdr:colOff>247650</xdr:colOff>
      <xdr:row>16</xdr:row>
      <xdr:rowOff>152400</xdr:rowOff>
    </xdr:to>
    <xdr:sp macro="" textlink="">
      <xdr:nvSpPr>
        <xdr:cNvPr id="5" name="Rectángulo: esquinas redondeadas 4">
          <a:hlinkClick xmlns:r="http://schemas.openxmlformats.org/officeDocument/2006/relationships" r:id="rId4"/>
          <a:extLst>
            <a:ext uri="{FF2B5EF4-FFF2-40B4-BE49-F238E27FC236}">
              <a16:creationId xmlns:a16="http://schemas.microsoft.com/office/drawing/2014/main" id="{D7B26DFA-0563-4E5C-94A7-2F337B3CF1A5}"/>
            </a:ext>
          </a:extLst>
        </xdr:cNvPr>
        <xdr:cNvSpPr/>
      </xdr:nvSpPr>
      <xdr:spPr>
        <a:xfrm>
          <a:off x="4924425" y="4562475"/>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Datos</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xdr:col>
      <xdr:colOff>171450</xdr:colOff>
      <xdr:row>17</xdr:row>
      <xdr:rowOff>19049</xdr:rowOff>
    </xdr:from>
    <xdr:to>
      <xdr:col>3</xdr:col>
      <xdr:colOff>200025</xdr:colOff>
      <xdr:row>19</xdr:row>
      <xdr:rowOff>104774</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B0D60596-0B28-4FE1-BC4F-A80DD9CAD958}"/>
            </a:ext>
          </a:extLst>
        </xdr:cNvPr>
        <xdr:cNvSpPr/>
      </xdr:nvSpPr>
      <xdr:spPr>
        <a:xfrm>
          <a:off x="933450" y="4914899"/>
          <a:ext cx="1552575" cy="4667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Balance</a:t>
          </a:r>
          <a:r>
            <a:rPr lang="es-MX" sz="1100" baseline="0">
              <a:solidFill>
                <a:schemeClr val="accent1"/>
              </a:solidFill>
              <a:latin typeface="Courier New" panose="02070309020205020404" pitchFamily="49" charset="0"/>
              <a:cs typeface="Courier New" panose="02070309020205020404" pitchFamily="49" charset="0"/>
            </a:rPr>
            <a:t> General Incial</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3</xdr:col>
      <xdr:colOff>342900</xdr:colOff>
      <xdr:row>17</xdr:row>
      <xdr:rowOff>19050</xdr:rowOff>
    </xdr:from>
    <xdr:to>
      <xdr:col>5</xdr:col>
      <xdr:colOff>238125</xdr:colOff>
      <xdr:row>19</xdr:row>
      <xdr:rowOff>104775</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EC2979A8-0228-4866-8CA9-B80A1004C5E7}"/>
            </a:ext>
          </a:extLst>
        </xdr:cNvPr>
        <xdr:cNvSpPr/>
      </xdr:nvSpPr>
      <xdr:spPr>
        <a:xfrm>
          <a:off x="2628900" y="4914900"/>
          <a:ext cx="1419225" cy="4667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Estado</a:t>
          </a:r>
          <a:r>
            <a:rPr lang="es-MX" sz="1100" baseline="0">
              <a:solidFill>
                <a:schemeClr val="accent1"/>
              </a:solidFill>
              <a:latin typeface="Courier New" panose="02070309020205020404" pitchFamily="49" charset="0"/>
              <a:cs typeface="Courier New" panose="02070309020205020404" pitchFamily="49" charset="0"/>
            </a:rPr>
            <a:t> De Resultados</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5</xdr:col>
      <xdr:colOff>342900</xdr:colOff>
      <xdr:row>17</xdr:row>
      <xdr:rowOff>95250</xdr:rowOff>
    </xdr:from>
    <xdr:to>
      <xdr:col>7</xdr:col>
      <xdr:colOff>238125</xdr:colOff>
      <xdr:row>19</xdr:row>
      <xdr:rowOff>9525</xdr:rowOff>
    </xdr:to>
    <xdr:sp macro="" textlink="">
      <xdr:nvSpPr>
        <xdr:cNvPr id="8" name="Rectángulo: esquinas redondeadas 7">
          <a:hlinkClick xmlns:r="http://schemas.openxmlformats.org/officeDocument/2006/relationships" r:id="rId7"/>
          <a:extLst>
            <a:ext uri="{FF2B5EF4-FFF2-40B4-BE49-F238E27FC236}">
              <a16:creationId xmlns:a16="http://schemas.microsoft.com/office/drawing/2014/main" id="{5815C645-D267-4673-BE32-CEE4A3F18159}"/>
            </a:ext>
          </a:extLst>
        </xdr:cNvPr>
        <xdr:cNvSpPr/>
      </xdr:nvSpPr>
      <xdr:spPr>
        <a:xfrm>
          <a:off x="4152900" y="499110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FNE</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2</xdr:col>
      <xdr:colOff>276225</xdr:colOff>
      <xdr:row>20</xdr:row>
      <xdr:rowOff>0</xdr:rowOff>
    </xdr:from>
    <xdr:to>
      <xdr:col>4</xdr:col>
      <xdr:colOff>257175</xdr:colOff>
      <xdr:row>21</xdr:row>
      <xdr:rowOff>104775</xdr:rowOff>
    </xdr:to>
    <xdr:sp macro="" textlink="">
      <xdr:nvSpPr>
        <xdr:cNvPr id="9" name="Rectángulo: esquinas redondeadas 8">
          <a:hlinkClick xmlns:r="http://schemas.openxmlformats.org/officeDocument/2006/relationships" r:id="rId8"/>
          <a:extLst>
            <a:ext uri="{FF2B5EF4-FFF2-40B4-BE49-F238E27FC236}">
              <a16:creationId xmlns:a16="http://schemas.microsoft.com/office/drawing/2014/main" id="{6D568FE6-2DAD-4FE3-A52B-A74DB301365D}"/>
            </a:ext>
          </a:extLst>
        </xdr:cNvPr>
        <xdr:cNvSpPr/>
      </xdr:nvSpPr>
      <xdr:spPr>
        <a:xfrm>
          <a:off x="1800225" y="5467350"/>
          <a:ext cx="1504950"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Balance</a:t>
          </a:r>
          <a:r>
            <a:rPr lang="es-MX" sz="1100" baseline="0">
              <a:solidFill>
                <a:schemeClr val="accent1"/>
              </a:solidFill>
              <a:latin typeface="Courier New" panose="02070309020205020404" pitchFamily="49" charset="0"/>
              <a:cs typeface="Courier New" panose="02070309020205020404" pitchFamily="49" charset="0"/>
            </a:rPr>
            <a:t> General</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4</xdr:col>
      <xdr:colOff>342900</xdr:colOff>
      <xdr:row>19</xdr:row>
      <xdr:rowOff>161925</xdr:rowOff>
    </xdr:from>
    <xdr:to>
      <xdr:col>6</xdr:col>
      <xdr:colOff>381000</xdr:colOff>
      <xdr:row>22</xdr:row>
      <xdr:rowOff>104775</xdr:rowOff>
    </xdr:to>
    <xdr:sp macro="" textlink="">
      <xdr:nvSpPr>
        <xdr:cNvPr id="10" name="Rectángulo: esquinas redondeadas 9">
          <a:hlinkClick xmlns:r="http://schemas.openxmlformats.org/officeDocument/2006/relationships" r:id="rId9"/>
          <a:extLst>
            <a:ext uri="{FF2B5EF4-FFF2-40B4-BE49-F238E27FC236}">
              <a16:creationId xmlns:a16="http://schemas.microsoft.com/office/drawing/2014/main" id="{89B80D99-A364-4AFC-9DDA-3F2FBABD9CF0}"/>
            </a:ext>
          </a:extLst>
        </xdr:cNvPr>
        <xdr:cNvSpPr/>
      </xdr:nvSpPr>
      <xdr:spPr>
        <a:xfrm>
          <a:off x="3390900" y="5438775"/>
          <a:ext cx="1562100" cy="5143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Métodos</a:t>
          </a:r>
          <a:r>
            <a:rPr lang="es-MX" sz="1100" baseline="0">
              <a:solidFill>
                <a:schemeClr val="accent1"/>
              </a:solidFill>
              <a:latin typeface="Courier New" panose="02070309020205020404" pitchFamily="49" charset="0"/>
              <a:cs typeface="Courier New" panose="02070309020205020404" pitchFamily="49" charset="0"/>
            </a:rPr>
            <a:t> Evaluación</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3</xdr:col>
      <xdr:colOff>333375</xdr:colOff>
      <xdr:row>23</xdr:row>
      <xdr:rowOff>9525</xdr:rowOff>
    </xdr:from>
    <xdr:to>
      <xdr:col>5</xdr:col>
      <xdr:colOff>466725</xdr:colOff>
      <xdr:row>24</xdr:row>
      <xdr:rowOff>114300</xdr:rowOff>
    </xdr:to>
    <xdr:sp macro="" textlink="">
      <xdr:nvSpPr>
        <xdr:cNvPr id="11" name="Rectángulo: esquinas redondeadas 10">
          <a:hlinkClick xmlns:r="http://schemas.openxmlformats.org/officeDocument/2006/relationships" r:id="rId10"/>
          <a:extLst>
            <a:ext uri="{FF2B5EF4-FFF2-40B4-BE49-F238E27FC236}">
              <a16:creationId xmlns:a16="http://schemas.microsoft.com/office/drawing/2014/main" id="{9A9D6926-6B64-4430-BDC4-44D489DECCF1}"/>
            </a:ext>
          </a:extLst>
        </xdr:cNvPr>
        <xdr:cNvSpPr/>
      </xdr:nvSpPr>
      <xdr:spPr>
        <a:xfrm>
          <a:off x="2619375" y="6048375"/>
          <a:ext cx="1657350"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Punto</a:t>
          </a:r>
          <a:r>
            <a:rPr lang="es-MX" sz="1100" baseline="0">
              <a:solidFill>
                <a:schemeClr val="accent1"/>
              </a:solidFill>
              <a:latin typeface="Courier New" panose="02070309020205020404" pitchFamily="49" charset="0"/>
              <a:cs typeface="Courier New" panose="02070309020205020404" pitchFamily="49" charset="0"/>
            </a:rPr>
            <a:t> Equilibrio</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8</xdr:col>
      <xdr:colOff>314325</xdr:colOff>
      <xdr:row>37</xdr:row>
      <xdr:rowOff>38100</xdr:rowOff>
    </xdr:from>
    <xdr:to>
      <xdr:col>10</xdr:col>
      <xdr:colOff>209550</xdr:colOff>
      <xdr:row>38</xdr:row>
      <xdr:rowOff>142875</xdr:rowOff>
    </xdr:to>
    <xdr:sp macro="" textlink="">
      <xdr:nvSpPr>
        <xdr:cNvPr id="2" name="Rectángulo: esquinas redondeadas 1">
          <a:hlinkClick xmlns:r="http://schemas.openxmlformats.org/officeDocument/2006/relationships" r:id="rId1"/>
          <a:extLst>
            <a:ext uri="{FF2B5EF4-FFF2-40B4-BE49-F238E27FC236}">
              <a16:creationId xmlns:a16="http://schemas.microsoft.com/office/drawing/2014/main" id="{52DB5627-6687-4C62-B4AD-01A44C784D4D}"/>
            </a:ext>
          </a:extLst>
        </xdr:cNvPr>
        <xdr:cNvSpPr/>
      </xdr:nvSpPr>
      <xdr:spPr>
        <a:xfrm>
          <a:off x="314325" y="455295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Portada</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10</xdr:col>
      <xdr:colOff>333375</xdr:colOff>
      <xdr:row>37</xdr:row>
      <xdr:rowOff>38100</xdr:rowOff>
    </xdr:from>
    <xdr:to>
      <xdr:col>12</xdr:col>
      <xdr:colOff>228600</xdr:colOff>
      <xdr:row>38</xdr:row>
      <xdr:rowOff>142875</xdr:rowOff>
    </xdr:to>
    <xdr:sp macro="" textlink="">
      <xdr:nvSpPr>
        <xdr:cNvPr id="3" name="Rectángulo: esquinas redondeadas 2">
          <a:hlinkClick xmlns:r="http://schemas.openxmlformats.org/officeDocument/2006/relationships" r:id="rId2"/>
          <a:extLst>
            <a:ext uri="{FF2B5EF4-FFF2-40B4-BE49-F238E27FC236}">
              <a16:creationId xmlns:a16="http://schemas.microsoft.com/office/drawing/2014/main" id="{98E025D9-B433-490B-8533-BD2AB03491F8}"/>
            </a:ext>
          </a:extLst>
        </xdr:cNvPr>
        <xdr:cNvSpPr/>
      </xdr:nvSpPr>
      <xdr:spPr>
        <a:xfrm>
          <a:off x="1857375" y="455295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Fundamentación</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12</xdr:col>
      <xdr:colOff>333375</xdr:colOff>
      <xdr:row>37</xdr:row>
      <xdr:rowOff>57150</xdr:rowOff>
    </xdr:from>
    <xdr:to>
      <xdr:col>14</xdr:col>
      <xdr:colOff>228600</xdr:colOff>
      <xdr:row>38</xdr:row>
      <xdr:rowOff>161925</xdr:rowOff>
    </xdr:to>
    <xdr:sp macro="" textlink="">
      <xdr:nvSpPr>
        <xdr:cNvPr id="4" name="Rectángulo: esquinas redondeadas 3">
          <a:hlinkClick xmlns:r="http://schemas.openxmlformats.org/officeDocument/2006/relationships" r:id="rId3"/>
          <a:extLst>
            <a:ext uri="{FF2B5EF4-FFF2-40B4-BE49-F238E27FC236}">
              <a16:creationId xmlns:a16="http://schemas.microsoft.com/office/drawing/2014/main" id="{14F4C5F1-6807-4205-B553-421F78DE5368}"/>
            </a:ext>
          </a:extLst>
        </xdr:cNvPr>
        <xdr:cNvSpPr/>
      </xdr:nvSpPr>
      <xdr:spPr>
        <a:xfrm>
          <a:off x="3381375" y="457200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Objetivo</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14</xdr:col>
      <xdr:colOff>352425</xdr:colOff>
      <xdr:row>37</xdr:row>
      <xdr:rowOff>47625</xdr:rowOff>
    </xdr:from>
    <xdr:to>
      <xdr:col>16</xdr:col>
      <xdr:colOff>247650</xdr:colOff>
      <xdr:row>38</xdr:row>
      <xdr:rowOff>152400</xdr:rowOff>
    </xdr:to>
    <xdr:sp macro="" textlink="">
      <xdr:nvSpPr>
        <xdr:cNvPr id="5" name="Rectángulo: esquinas redondeadas 4">
          <a:hlinkClick xmlns:r="http://schemas.openxmlformats.org/officeDocument/2006/relationships" r:id="rId4"/>
          <a:extLst>
            <a:ext uri="{FF2B5EF4-FFF2-40B4-BE49-F238E27FC236}">
              <a16:creationId xmlns:a16="http://schemas.microsoft.com/office/drawing/2014/main" id="{CD2F7EAF-1ACC-419F-8FED-15C32C3559CE}"/>
            </a:ext>
          </a:extLst>
        </xdr:cNvPr>
        <xdr:cNvSpPr/>
      </xdr:nvSpPr>
      <xdr:spPr>
        <a:xfrm>
          <a:off x="4924425" y="4562475"/>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Datos</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9</xdr:col>
      <xdr:colOff>171450</xdr:colOff>
      <xdr:row>39</xdr:row>
      <xdr:rowOff>19049</xdr:rowOff>
    </xdr:from>
    <xdr:to>
      <xdr:col>11</xdr:col>
      <xdr:colOff>200025</xdr:colOff>
      <xdr:row>41</xdr:row>
      <xdr:rowOff>104774</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236155D9-9967-4381-9E39-5E2D063961FA}"/>
            </a:ext>
          </a:extLst>
        </xdr:cNvPr>
        <xdr:cNvSpPr/>
      </xdr:nvSpPr>
      <xdr:spPr>
        <a:xfrm>
          <a:off x="933450" y="4914899"/>
          <a:ext cx="1552575" cy="4667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Balance</a:t>
          </a:r>
          <a:r>
            <a:rPr lang="es-MX" sz="1100" baseline="0">
              <a:solidFill>
                <a:schemeClr val="accent1"/>
              </a:solidFill>
              <a:latin typeface="Courier New" panose="02070309020205020404" pitchFamily="49" charset="0"/>
              <a:cs typeface="Courier New" panose="02070309020205020404" pitchFamily="49" charset="0"/>
            </a:rPr>
            <a:t> General Incial</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11</xdr:col>
      <xdr:colOff>342900</xdr:colOff>
      <xdr:row>39</xdr:row>
      <xdr:rowOff>19050</xdr:rowOff>
    </xdr:from>
    <xdr:to>
      <xdr:col>13</xdr:col>
      <xdr:colOff>238125</xdr:colOff>
      <xdr:row>41</xdr:row>
      <xdr:rowOff>104775</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BD95537A-B12D-46F0-B5CC-43E0797DB905}"/>
            </a:ext>
          </a:extLst>
        </xdr:cNvPr>
        <xdr:cNvSpPr/>
      </xdr:nvSpPr>
      <xdr:spPr>
        <a:xfrm>
          <a:off x="2628900" y="4914900"/>
          <a:ext cx="1419225" cy="4667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Estado</a:t>
          </a:r>
          <a:r>
            <a:rPr lang="es-MX" sz="1100" baseline="0">
              <a:solidFill>
                <a:schemeClr val="accent1"/>
              </a:solidFill>
              <a:latin typeface="Courier New" panose="02070309020205020404" pitchFamily="49" charset="0"/>
              <a:cs typeface="Courier New" panose="02070309020205020404" pitchFamily="49" charset="0"/>
            </a:rPr>
            <a:t> De Resultados</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13</xdr:col>
      <xdr:colOff>342900</xdr:colOff>
      <xdr:row>39</xdr:row>
      <xdr:rowOff>95250</xdr:rowOff>
    </xdr:from>
    <xdr:to>
      <xdr:col>15</xdr:col>
      <xdr:colOff>238125</xdr:colOff>
      <xdr:row>41</xdr:row>
      <xdr:rowOff>9525</xdr:rowOff>
    </xdr:to>
    <xdr:sp macro="" textlink="">
      <xdr:nvSpPr>
        <xdr:cNvPr id="8" name="Rectángulo: esquinas redondeadas 7">
          <a:hlinkClick xmlns:r="http://schemas.openxmlformats.org/officeDocument/2006/relationships" r:id="rId7"/>
          <a:extLst>
            <a:ext uri="{FF2B5EF4-FFF2-40B4-BE49-F238E27FC236}">
              <a16:creationId xmlns:a16="http://schemas.microsoft.com/office/drawing/2014/main" id="{96A76E57-8C50-4F72-8879-4FC52271324A}"/>
            </a:ext>
          </a:extLst>
        </xdr:cNvPr>
        <xdr:cNvSpPr/>
      </xdr:nvSpPr>
      <xdr:spPr>
        <a:xfrm>
          <a:off x="4152900" y="499110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FNE</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10</xdr:col>
      <xdr:colOff>276225</xdr:colOff>
      <xdr:row>42</xdr:row>
      <xdr:rowOff>0</xdr:rowOff>
    </xdr:from>
    <xdr:to>
      <xdr:col>12</xdr:col>
      <xdr:colOff>257175</xdr:colOff>
      <xdr:row>43</xdr:row>
      <xdr:rowOff>104775</xdr:rowOff>
    </xdr:to>
    <xdr:sp macro="" textlink="">
      <xdr:nvSpPr>
        <xdr:cNvPr id="9" name="Rectángulo: esquinas redondeadas 8">
          <a:hlinkClick xmlns:r="http://schemas.openxmlformats.org/officeDocument/2006/relationships" r:id="rId8"/>
          <a:extLst>
            <a:ext uri="{FF2B5EF4-FFF2-40B4-BE49-F238E27FC236}">
              <a16:creationId xmlns:a16="http://schemas.microsoft.com/office/drawing/2014/main" id="{80C12EFF-6EC9-4432-8A30-708CE984334F}"/>
            </a:ext>
          </a:extLst>
        </xdr:cNvPr>
        <xdr:cNvSpPr/>
      </xdr:nvSpPr>
      <xdr:spPr>
        <a:xfrm>
          <a:off x="1800225" y="5467350"/>
          <a:ext cx="1504950"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Balance</a:t>
          </a:r>
          <a:r>
            <a:rPr lang="es-MX" sz="1100" baseline="0">
              <a:solidFill>
                <a:schemeClr val="accent1"/>
              </a:solidFill>
              <a:latin typeface="Courier New" panose="02070309020205020404" pitchFamily="49" charset="0"/>
              <a:cs typeface="Courier New" panose="02070309020205020404" pitchFamily="49" charset="0"/>
            </a:rPr>
            <a:t> General</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12</xdr:col>
      <xdr:colOff>342900</xdr:colOff>
      <xdr:row>41</xdr:row>
      <xdr:rowOff>161925</xdr:rowOff>
    </xdr:from>
    <xdr:to>
      <xdr:col>14</xdr:col>
      <xdr:colOff>381000</xdr:colOff>
      <xdr:row>44</xdr:row>
      <xdr:rowOff>104775</xdr:rowOff>
    </xdr:to>
    <xdr:sp macro="" textlink="">
      <xdr:nvSpPr>
        <xdr:cNvPr id="10" name="Rectángulo: esquinas redondeadas 9">
          <a:hlinkClick xmlns:r="http://schemas.openxmlformats.org/officeDocument/2006/relationships" r:id="rId9"/>
          <a:extLst>
            <a:ext uri="{FF2B5EF4-FFF2-40B4-BE49-F238E27FC236}">
              <a16:creationId xmlns:a16="http://schemas.microsoft.com/office/drawing/2014/main" id="{1A1CAC04-5ABD-49A9-9E53-BDA861738CAE}"/>
            </a:ext>
          </a:extLst>
        </xdr:cNvPr>
        <xdr:cNvSpPr/>
      </xdr:nvSpPr>
      <xdr:spPr>
        <a:xfrm>
          <a:off x="3390900" y="5438775"/>
          <a:ext cx="1562100" cy="5143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Métodos</a:t>
          </a:r>
          <a:r>
            <a:rPr lang="es-MX" sz="1100" baseline="0">
              <a:solidFill>
                <a:schemeClr val="accent1"/>
              </a:solidFill>
              <a:latin typeface="Courier New" panose="02070309020205020404" pitchFamily="49" charset="0"/>
              <a:cs typeface="Courier New" panose="02070309020205020404" pitchFamily="49" charset="0"/>
            </a:rPr>
            <a:t> Evaluación</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11</xdr:col>
      <xdr:colOff>333375</xdr:colOff>
      <xdr:row>45</xdr:row>
      <xdr:rowOff>9525</xdr:rowOff>
    </xdr:from>
    <xdr:to>
      <xdr:col>13</xdr:col>
      <xdr:colOff>466725</xdr:colOff>
      <xdr:row>46</xdr:row>
      <xdr:rowOff>114300</xdr:rowOff>
    </xdr:to>
    <xdr:sp macro="" textlink="">
      <xdr:nvSpPr>
        <xdr:cNvPr id="11" name="Rectángulo: esquinas redondeadas 10">
          <a:hlinkClick xmlns:r="http://schemas.openxmlformats.org/officeDocument/2006/relationships" r:id="rId10"/>
          <a:extLst>
            <a:ext uri="{FF2B5EF4-FFF2-40B4-BE49-F238E27FC236}">
              <a16:creationId xmlns:a16="http://schemas.microsoft.com/office/drawing/2014/main" id="{5D9B9C01-5162-417A-B62B-B63F4416069B}"/>
            </a:ext>
          </a:extLst>
        </xdr:cNvPr>
        <xdr:cNvSpPr/>
      </xdr:nvSpPr>
      <xdr:spPr>
        <a:xfrm>
          <a:off x="2619375" y="6048375"/>
          <a:ext cx="1657350"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Punto</a:t>
          </a:r>
          <a:r>
            <a:rPr lang="es-MX" sz="1100" baseline="0">
              <a:solidFill>
                <a:schemeClr val="accent1"/>
              </a:solidFill>
              <a:latin typeface="Courier New" panose="02070309020205020404" pitchFamily="49" charset="0"/>
              <a:cs typeface="Courier New" panose="02070309020205020404" pitchFamily="49" charset="0"/>
            </a:rPr>
            <a:t> Equilibrio</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314325</xdr:colOff>
      <xdr:row>49</xdr:row>
      <xdr:rowOff>38100</xdr:rowOff>
    </xdr:from>
    <xdr:to>
      <xdr:col>2</xdr:col>
      <xdr:colOff>209550</xdr:colOff>
      <xdr:row>50</xdr:row>
      <xdr:rowOff>142875</xdr:rowOff>
    </xdr:to>
    <xdr:sp macro="" textlink="">
      <xdr:nvSpPr>
        <xdr:cNvPr id="2" name="Rectángulo: esquinas redondeadas 1">
          <a:hlinkClick xmlns:r="http://schemas.openxmlformats.org/officeDocument/2006/relationships" r:id="rId1"/>
          <a:extLst>
            <a:ext uri="{FF2B5EF4-FFF2-40B4-BE49-F238E27FC236}">
              <a16:creationId xmlns:a16="http://schemas.microsoft.com/office/drawing/2014/main" id="{A0E9CF24-EC09-4C0A-870D-1329692681A2}"/>
            </a:ext>
          </a:extLst>
        </xdr:cNvPr>
        <xdr:cNvSpPr/>
      </xdr:nvSpPr>
      <xdr:spPr>
        <a:xfrm>
          <a:off x="314325" y="455295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Portada</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2</xdr:col>
      <xdr:colOff>333375</xdr:colOff>
      <xdr:row>49</xdr:row>
      <xdr:rowOff>38100</xdr:rowOff>
    </xdr:from>
    <xdr:to>
      <xdr:col>4</xdr:col>
      <xdr:colOff>228600</xdr:colOff>
      <xdr:row>50</xdr:row>
      <xdr:rowOff>142875</xdr:rowOff>
    </xdr:to>
    <xdr:sp macro="" textlink="">
      <xdr:nvSpPr>
        <xdr:cNvPr id="3" name="Rectángulo: esquinas redondeadas 2">
          <a:hlinkClick xmlns:r="http://schemas.openxmlformats.org/officeDocument/2006/relationships" r:id="rId2"/>
          <a:extLst>
            <a:ext uri="{FF2B5EF4-FFF2-40B4-BE49-F238E27FC236}">
              <a16:creationId xmlns:a16="http://schemas.microsoft.com/office/drawing/2014/main" id="{A9CDA10D-928F-4CB2-916F-0C2B1BE0E298}"/>
            </a:ext>
          </a:extLst>
        </xdr:cNvPr>
        <xdr:cNvSpPr/>
      </xdr:nvSpPr>
      <xdr:spPr>
        <a:xfrm>
          <a:off x="1857375" y="455295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Fundamentación</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4</xdr:col>
      <xdr:colOff>333375</xdr:colOff>
      <xdr:row>49</xdr:row>
      <xdr:rowOff>57150</xdr:rowOff>
    </xdr:from>
    <xdr:to>
      <xdr:col>6</xdr:col>
      <xdr:colOff>228600</xdr:colOff>
      <xdr:row>50</xdr:row>
      <xdr:rowOff>161925</xdr:rowOff>
    </xdr:to>
    <xdr:sp macro="" textlink="">
      <xdr:nvSpPr>
        <xdr:cNvPr id="4" name="Rectángulo: esquinas redondeadas 3">
          <a:hlinkClick xmlns:r="http://schemas.openxmlformats.org/officeDocument/2006/relationships" r:id="rId3"/>
          <a:extLst>
            <a:ext uri="{FF2B5EF4-FFF2-40B4-BE49-F238E27FC236}">
              <a16:creationId xmlns:a16="http://schemas.microsoft.com/office/drawing/2014/main" id="{947B687B-ECBB-41C3-985B-432863D192BB}"/>
            </a:ext>
          </a:extLst>
        </xdr:cNvPr>
        <xdr:cNvSpPr/>
      </xdr:nvSpPr>
      <xdr:spPr>
        <a:xfrm>
          <a:off x="3381375" y="457200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Objetivo</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6</xdr:col>
      <xdr:colOff>352425</xdr:colOff>
      <xdr:row>49</xdr:row>
      <xdr:rowOff>47625</xdr:rowOff>
    </xdr:from>
    <xdr:to>
      <xdr:col>8</xdr:col>
      <xdr:colOff>247650</xdr:colOff>
      <xdr:row>50</xdr:row>
      <xdr:rowOff>152400</xdr:rowOff>
    </xdr:to>
    <xdr:sp macro="" textlink="">
      <xdr:nvSpPr>
        <xdr:cNvPr id="5" name="Rectángulo: esquinas redondeadas 4">
          <a:hlinkClick xmlns:r="http://schemas.openxmlformats.org/officeDocument/2006/relationships" r:id="rId4"/>
          <a:extLst>
            <a:ext uri="{FF2B5EF4-FFF2-40B4-BE49-F238E27FC236}">
              <a16:creationId xmlns:a16="http://schemas.microsoft.com/office/drawing/2014/main" id="{48335547-35FC-4EFD-B374-FD41302CB7A7}"/>
            </a:ext>
          </a:extLst>
        </xdr:cNvPr>
        <xdr:cNvSpPr/>
      </xdr:nvSpPr>
      <xdr:spPr>
        <a:xfrm>
          <a:off x="4924425" y="4562475"/>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Datos</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xdr:col>
      <xdr:colOff>171450</xdr:colOff>
      <xdr:row>51</xdr:row>
      <xdr:rowOff>19049</xdr:rowOff>
    </xdr:from>
    <xdr:to>
      <xdr:col>3</xdr:col>
      <xdr:colOff>200025</xdr:colOff>
      <xdr:row>53</xdr:row>
      <xdr:rowOff>104774</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D4C9EEBC-DB84-4DBB-9838-4B01DC922B26}"/>
            </a:ext>
          </a:extLst>
        </xdr:cNvPr>
        <xdr:cNvSpPr/>
      </xdr:nvSpPr>
      <xdr:spPr>
        <a:xfrm>
          <a:off x="933450" y="4914899"/>
          <a:ext cx="1552575" cy="4667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Balance</a:t>
          </a:r>
          <a:r>
            <a:rPr lang="es-MX" sz="1100" baseline="0">
              <a:solidFill>
                <a:schemeClr val="accent1"/>
              </a:solidFill>
              <a:latin typeface="Courier New" panose="02070309020205020404" pitchFamily="49" charset="0"/>
              <a:cs typeface="Courier New" panose="02070309020205020404" pitchFamily="49" charset="0"/>
            </a:rPr>
            <a:t> General Incial</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3</xdr:col>
      <xdr:colOff>342900</xdr:colOff>
      <xdr:row>51</xdr:row>
      <xdr:rowOff>19050</xdr:rowOff>
    </xdr:from>
    <xdr:to>
      <xdr:col>5</xdr:col>
      <xdr:colOff>238125</xdr:colOff>
      <xdr:row>53</xdr:row>
      <xdr:rowOff>104775</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A13CD3D-E38D-493B-AAB2-FD2714830699}"/>
            </a:ext>
          </a:extLst>
        </xdr:cNvPr>
        <xdr:cNvSpPr/>
      </xdr:nvSpPr>
      <xdr:spPr>
        <a:xfrm>
          <a:off x="2628900" y="4914900"/>
          <a:ext cx="1419225" cy="4667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Estado</a:t>
          </a:r>
          <a:r>
            <a:rPr lang="es-MX" sz="1100" baseline="0">
              <a:solidFill>
                <a:schemeClr val="accent1"/>
              </a:solidFill>
              <a:latin typeface="Courier New" panose="02070309020205020404" pitchFamily="49" charset="0"/>
              <a:cs typeface="Courier New" panose="02070309020205020404" pitchFamily="49" charset="0"/>
            </a:rPr>
            <a:t> De Resultados</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5</xdr:col>
      <xdr:colOff>342900</xdr:colOff>
      <xdr:row>51</xdr:row>
      <xdr:rowOff>95250</xdr:rowOff>
    </xdr:from>
    <xdr:to>
      <xdr:col>7</xdr:col>
      <xdr:colOff>238125</xdr:colOff>
      <xdr:row>53</xdr:row>
      <xdr:rowOff>9525</xdr:rowOff>
    </xdr:to>
    <xdr:sp macro="" textlink="">
      <xdr:nvSpPr>
        <xdr:cNvPr id="8" name="Rectángulo: esquinas redondeadas 7">
          <a:hlinkClick xmlns:r="http://schemas.openxmlformats.org/officeDocument/2006/relationships" r:id="rId7"/>
          <a:extLst>
            <a:ext uri="{FF2B5EF4-FFF2-40B4-BE49-F238E27FC236}">
              <a16:creationId xmlns:a16="http://schemas.microsoft.com/office/drawing/2014/main" id="{21BBF314-EFB1-45CC-A348-47063AFBB480}"/>
            </a:ext>
          </a:extLst>
        </xdr:cNvPr>
        <xdr:cNvSpPr/>
      </xdr:nvSpPr>
      <xdr:spPr>
        <a:xfrm>
          <a:off x="4152900" y="499110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FNE</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2</xdr:col>
      <xdr:colOff>276225</xdr:colOff>
      <xdr:row>54</xdr:row>
      <xdr:rowOff>0</xdr:rowOff>
    </xdr:from>
    <xdr:to>
      <xdr:col>4</xdr:col>
      <xdr:colOff>257175</xdr:colOff>
      <xdr:row>55</xdr:row>
      <xdr:rowOff>104775</xdr:rowOff>
    </xdr:to>
    <xdr:sp macro="" textlink="">
      <xdr:nvSpPr>
        <xdr:cNvPr id="9" name="Rectángulo: esquinas redondeadas 8">
          <a:hlinkClick xmlns:r="http://schemas.openxmlformats.org/officeDocument/2006/relationships" r:id="rId8"/>
          <a:extLst>
            <a:ext uri="{FF2B5EF4-FFF2-40B4-BE49-F238E27FC236}">
              <a16:creationId xmlns:a16="http://schemas.microsoft.com/office/drawing/2014/main" id="{B639F958-8904-4826-84B1-69D0CAE65A81}"/>
            </a:ext>
          </a:extLst>
        </xdr:cNvPr>
        <xdr:cNvSpPr/>
      </xdr:nvSpPr>
      <xdr:spPr>
        <a:xfrm>
          <a:off x="1800225" y="5467350"/>
          <a:ext cx="1504950"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Balance</a:t>
          </a:r>
          <a:r>
            <a:rPr lang="es-MX" sz="1100" baseline="0">
              <a:solidFill>
                <a:schemeClr val="accent1"/>
              </a:solidFill>
              <a:latin typeface="Courier New" panose="02070309020205020404" pitchFamily="49" charset="0"/>
              <a:cs typeface="Courier New" panose="02070309020205020404" pitchFamily="49" charset="0"/>
            </a:rPr>
            <a:t> General</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4</xdr:col>
      <xdr:colOff>342900</xdr:colOff>
      <xdr:row>53</xdr:row>
      <xdr:rowOff>161925</xdr:rowOff>
    </xdr:from>
    <xdr:to>
      <xdr:col>6</xdr:col>
      <xdr:colOff>381000</xdr:colOff>
      <xdr:row>56</xdr:row>
      <xdr:rowOff>104775</xdr:rowOff>
    </xdr:to>
    <xdr:sp macro="" textlink="">
      <xdr:nvSpPr>
        <xdr:cNvPr id="10" name="Rectángulo: esquinas redondeadas 9">
          <a:hlinkClick xmlns:r="http://schemas.openxmlformats.org/officeDocument/2006/relationships" r:id="rId9"/>
          <a:extLst>
            <a:ext uri="{FF2B5EF4-FFF2-40B4-BE49-F238E27FC236}">
              <a16:creationId xmlns:a16="http://schemas.microsoft.com/office/drawing/2014/main" id="{1AA362E7-46FE-4375-BC9C-AB529CF32C24}"/>
            </a:ext>
          </a:extLst>
        </xdr:cNvPr>
        <xdr:cNvSpPr/>
      </xdr:nvSpPr>
      <xdr:spPr>
        <a:xfrm>
          <a:off x="3390900" y="5438775"/>
          <a:ext cx="1562100" cy="5143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Métodos</a:t>
          </a:r>
          <a:r>
            <a:rPr lang="es-MX" sz="1100" baseline="0">
              <a:solidFill>
                <a:schemeClr val="accent1"/>
              </a:solidFill>
              <a:latin typeface="Courier New" panose="02070309020205020404" pitchFamily="49" charset="0"/>
              <a:cs typeface="Courier New" panose="02070309020205020404" pitchFamily="49" charset="0"/>
            </a:rPr>
            <a:t> Evaluación</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3</xdr:col>
      <xdr:colOff>333375</xdr:colOff>
      <xdr:row>57</xdr:row>
      <xdr:rowOff>9525</xdr:rowOff>
    </xdr:from>
    <xdr:to>
      <xdr:col>5</xdr:col>
      <xdr:colOff>466725</xdr:colOff>
      <xdr:row>58</xdr:row>
      <xdr:rowOff>114300</xdr:rowOff>
    </xdr:to>
    <xdr:sp macro="" textlink="">
      <xdr:nvSpPr>
        <xdr:cNvPr id="11" name="Rectángulo: esquinas redondeadas 10">
          <a:hlinkClick xmlns:r="http://schemas.openxmlformats.org/officeDocument/2006/relationships" r:id="rId10"/>
          <a:extLst>
            <a:ext uri="{FF2B5EF4-FFF2-40B4-BE49-F238E27FC236}">
              <a16:creationId xmlns:a16="http://schemas.microsoft.com/office/drawing/2014/main" id="{523F24A2-69AB-4F1A-8A99-BE5E02E6EF21}"/>
            </a:ext>
          </a:extLst>
        </xdr:cNvPr>
        <xdr:cNvSpPr/>
      </xdr:nvSpPr>
      <xdr:spPr>
        <a:xfrm>
          <a:off x="2619375" y="6048375"/>
          <a:ext cx="1657350"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Punto</a:t>
          </a:r>
          <a:r>
            <a:rPr lang="es-MX" sz="1100" baseline="0">
              <a:solidFill>
                <a:schemeClr val="accent1"/>
              </a:solidFill>
              <a:latin typeface="Courier New" panose="02070309020205020404" pitchFamily="49" charset="0"/>
              <a:cs typeface="Courier New" panose="02070309020205020404" pitchFamily="49" charset="0"/>
            </a:rPr>
            <a:t> Equilibrio</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66675</xdr:colOff>
      <xdr:row>31</xdr:row>
      <xdr:rowOff>9525</xdr:rowOff>
    </xdr:from>
    <xdr:to>
      <xdr:col>5</xdr:col>
      <xdr:colOff>728663</xdr:colOff>
      <xdr:row>47</xdr:row>
      <xdr:rowOff>176213</xdr:rowOff>
    </xdr:to>
    <xdr:graphicFrame macro="">
      <xdr:nvGraphicFramePr>
        <xdr:cNvPr id="4" name="Gráfico 3">
          <a:extLst>
            <a:ext uri="{FF2B5EF4-FFF2-40B4-BE49-F238E27FC236}">
              <a16:creationId xmlns:a16="http://schemas.microsoft.com/office/drawing/2014/main" id="{B2061A64-2A51-41D5-A0E1-D929DB09CB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276225</xdr:colOff>
      <xdr:row>31</xdr:row>
      <xdr:rowOff>0</xdr:rowOff>
    </xdr:from>
    <xdr:to>
      <xdr:col>12</xdr:col>
      <xdr:colOff>176213</xdr:colOff>
      <xdr:row>47</xdr:row>
      <xdr:rowOff>166688</xdr:rowOff>
    </xdr:to>
    <xdr:graphicFrame macro="">
      <xdr:nvGraphicFramePr>
        <xdr:cNvPr id="5" name="Gráfico 4">
          <a:extLst>
            <a:ext uri="{FF2B5EF4-FFF2-40B4-BE49-F238E27FC236}">
              <a16:creationId xmlns:a16="http://schemas.microsoft.com/office/drawing/2014/main" id="{B0DA4DA4-2815-42C8-9888-54CBDDC4C7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31</xdr:row>
      <xdr:rowOff>0</xdr:rowOff>
    </xdr:from>
    <xdr:to>
      <xdr:col>18</xdr:col>
      <xdr:colOff>661988</xdr:colOff>
      <xdr:row>47</xdr:row>
      <xdr:rowOff>166688</xdr:rowOff>
    </xdr:to>
    <xdr:graphicFrame macro="">
      <xdr:nvGraphicFramePr>
        <xdr:cNvPr id="6" name="Gráfico 5">
          <a:extLst>
            <a:ext uri="{FF2B5EF4-FFF2-40B4-BE49-F238E27FC236}">
              <a16:creationId xmlns:a16="http://schemas.microsoft.com/office/drawing/2014/main" id="{EF5FE4B6-C8A9-44F3-BAED-D66369E48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371475</xdr:colOff>
      <xdr:row>31</xdr:row>
      <xdr:rowOff>9525</xdr:rowOff>
    </xdr:from>
    <xdr:to>
      <xdr:col>25</xdr:col>
      <xdr:colOff>271463</xdr:colOff>
      <xdr:row>47</xdr:row>
      <xdr:rowOff>176213</xdr:rowOff>
    </xdr:to>
    <xdr:graphicFrame macro="">
      <xdr:nvGraphicFramePr>
        <xdr:cNvPr id="7" name="Gráfico 6">
          <a:extLst>
            <a:ext uri="{FF2B5EF4-FFF2-40B4-BE49-F238E27FC236}">
              <a16:creationId xmlns:a16="http://schemas.microsoft.com/office/drawing/2014/main" id="{2793826C-0AA8-47B8-99E0-AC22C67513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49</xdr:row>
      <xdr:rowOff>0</xdr:rowOff>
    </xdr:from>
    <xdr:to>
      <xdr:col>5</xdr:col>
      <xdr:colOff>661988</xdr:colOff>
      <xdr:row>65</xdr:row>
      <xdr:rowOff>166688</xdr:rowOff>
    </xdr:to>
    <xdr:graphicFrame macro="">
      <xdr:nvGraphicFramePr>
        <xdr:cNvPr id="8" name="Gráfico 7">
          <a:extLst>
            <a:ext uri="{FF2B5EF4-FFF2-40B4-BE49-F238E27FC236}">
              <a16:creationId xmlns:a16="http://schemas.microsoft.com/office/drawing/2014/main" id="{3D1186E1-3F5F-496C-85FA-B143AA825E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247650</xdr:colOff>
      <xdr:row>48</xdr:row>
      <xdr:rowOff>161925</xdr:rowOff>
    </xdr:from>
    <xdr:to>
      <xdr:col>12</xdr:col>
      <xdr:colOff>147638</xdr:colOff>
      <xdr:row>65</xdr:row>
      <xdr:rowOff>138113</xdr:rowOff>
    </xdr:to>
    <xdr:graphicFrame macro="">
      <xdr:nvGraphicFramePr>
        <xdr:cNvPr id="9" name="Gráfico 8">
          <a:extLst>
            <a:ext uri="{FF2B5EF4-FFF2-40B4-BE49-F238E27FC236}">
              <a16:creationId xmlns:a16="http://schemas.microsoft.com/office/drawing/2014/main" id="{4D4A67C3-293C-434E-8CFA-15B70051FA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49</xdr:row>
      <xdr:rowOff>0</xdr:rowOff>
    </xdr:from>
    <xdr:to>
      <xdr:col>18</xdr:col>
      <xdr:colOff>661988</xdr:colOff>
      <xdr:row>65</xdr:row>
      <xdr:rowOff>166688</xdr:rowOff>
    </xdr:to>
    <xdr:graphicFrame macro="">
      <xdr:nvGraphicFramePr>
        <xdr:cNvPr id="10" name="Gráfico 9">
          <a:extLst>
            <a:ext uri="{FF2B5EF4-FFF2-40B4-BE49-F238E27FC236}">
              <a16:creationId xmlns:a16="http://schemas.microsoft.com/office/drawing/2014/main" id="{6B5C1E82-13A2-43BE-8DB7-050CDD8B4D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19</xdr:col>
      <xdr:colOff>371475</xdr:colOff>
      <xdr:row>48</xdr:row>
      <xdr:rowOff>180975</xdr:rowOff>
    </xdr:from>
    <xdr:to>
      <xdr:col>25</xdr:col>
      <xdr:colOff>271463</xdr:colOff>
      <xdr:row>65</xdr:row>
      <xdr:rowOff>157163</xdr:rowOff>
    </xdr:to>
    <xdr:graphicFrame macro="">
      <xdr:nvGraphicFramePr>
        <xdr:cNvPr id="11" name="Gráfico 10">
          <a:extLst>
            <a:ext uri="{FF2B5EF4-FFF2-40B4-BE49-F238E27FC236}">
              <a16:creationId xmlns:a16="http://schemas.microsoft.com/office/drawing/2014/main" id="{099C8DCB-44C9-432F-A190-95BE45C1E2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67</xdr:row>
      <xdr:rowOff>0</xdr:rowOff>
    </xdr:from>
    <xdr:to>
      <xdr:col>5</xdr:col>
      <xdr:colOff>661988</xdr:colOff>
      <xdr:row>83</xdr:row>
      <xdr:rowOff>166688</xdr:rowOff>
    </xdr:to>
    <xdr:graphicFrame macro="">
      <xdr:nvGraphicFramePr>
        <xdr:cNvPr id="12" name="Gráfico 11">
          <a:extLst>
            <a:ext uri="{FF2B5EF4-FFF2-40B4-BE49-F238E27FC236}">
              <a16:creationId xmlns:a16="http://schemas.microsoft.com/office/drawing/2014/main" id="{D5704991-A6AF-4B67-9A6C-80BFACD0C7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228600</xdr:colOff>
      <xdr:row>67</xdr:row>
      <xdr:rowOff>9525</xdr:rowOff>
    </xdr:from>
    <xdr:to>
      <xdr:col>12</xdr:col>
      <xdr:colOff>128588</xdr:colOff>
      <xdr:row>83</xdr:row>
      <xdr:rowOff>176213</xdr:rowOff>
    </xdr:to>
    <xdr:graphicFrame macro="">
      <xdr:nvGraphicFramePr>
        <xdr:cNvPr id="13" name="Gráfico 12">
          <a:extLst>
            <a:ext uri="{FF2B5EF4-FFF2-40B4-BE49-F238E27FC236}">
              <a16:creationId xmlns:a16="http://schemas.microsoft.com/office/drawing/2014/main" id="{8C0D0348-86F6-4967-B152-0EFE7C185F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314325</xdr:colOff>
      <xdr:row>68</xdr:row>
      <xdr:rowOff>38100</xdr:rowOff>
    </xdr:from>
    <xdr:to>
      <xdr:col>15</xdr:col>
      <xdr:colOff>209550</xdr:colOff>
      <xdr:row>69</xdr:row>
      <xdr:rowOff>142875</xdr:rowOff>
    </xdr:to>
    <xdr:sp macro="" textlink="">
      <xdr:nvSpPr>
        <xdr:cNvPr id="14" name="Rectángulo: esquinas redondeadas 13">
          <a:hlinkClick xmlns:r="http://schemas.openxmlformats.org/officeDocument/2006/relationships" r:id="rId11"/>
          <a:extLst>
            <a:ext uri="{FF2B5EF4-FFF2-40B4-BE49-F238E27FC236}">
              <a16:creationId xmlns:a16="http://schemas.microsoft.com/office/drawing/2014/main" id="{81659F9C-7DDC-474D-9721-9B4D305B2456}"/>
            </a:ext>
          </a:extLst>
        </xdr:cNvPr>
        <xdr:cNvSpPr/>
      </xdr:nvSpPr>
      <xdr:spPr>
        <a:xfrm>
          <a:off x="314325" y="455295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Portada</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15</xdr:col>
      <xdr:colOff>333375</xdr:colOff>
      <xdr:row>68</xdr:row>
      <xdr:rowOff>38100</xdr:rowOff>
    </xdr:from>
    <xdr:to>
      <xdr:col>17</xdr:col>
      <xdr:colOff>228600</xdr:colOff>
      <xdr:row>69</xdr:row>
      <xdr:rowOff>142875</xdr:rowOff>
    </xdr:to>
    <xdr:sp macro="" textlink="">
      <xdr:nvSpPr>
        <xdr:cNvPr id="15" name="Rectángulo: esquinas redondeadas 14">
          <a:hlinkClick xmlns:r="http://schemas.openxmlformats.org/officeDocument/2006/relationships" r:id="rId12"/>
          <a:extLst>
            <a:ext uri="{FF2B5EF4-FFF2-40B4-BE49-F238E27FC236}">
              <a16:creationId xmlns:a16="http://schemas.microsoft.com/office/drawing/2014/main" id="{307F3809-6C2F-4986-8D24-EE425EAA3256}"/>
            </a:ext>
          </a:extLst>
        </xdr:cNvPr>
        <xdr:cNvSpPr/>
      </xdr:nvSpPr>
      <xdr:spPr>
        <a:xfrm>
          <a:off x="1857375" y="455295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Fundamentación</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17</xdr:col>
      <xdr:colOff>333375</xdr:colOff>
      <xdr:row>68</xdr:row>
      <xdr:rowOff>57150</xdr:rowOff>
    </xdr:from>
    <xdr:to>
      <xdr:col>19</xdr:col>
      <xdr:colOff>228600</xdr:colOff>
      <xdr:row>69</xdr:row>
      <xdr:rowOff>161925</xdr:rowOff>
    </xdr:to>
    <xdr:sp macro="" textlink="">
      <xdr:nvSpPr>
        <xdr:cNvPr id="16" name="Rectángulo: esquinas redondeadas 15">
          <a:hlinkClick xmlns:r="http://schemas.openxmlformats.org/officeDocument/2006/relationships" r:id="rId13"/>
          <a:extLst>
            <a:ext uri="{FF2B5EF4-FFF2-40B4-BE49-F238E27FC236}">
              <a16:creationId xmlns:a16="http://schemas.microsoft.com/office/drawing/2014/main" id="{ABF03E15-8516-4144-B741-BFDFB89F30AD}"/>
            </a:ext>
          </a:extLst>
        </xdr:cNvPr>
        <xdr:cNvSpPr/>
      </xdr:nvSpPr>
      <xdr:spPr>
        <a:xfrm>
          <a:off x="3381375" y="457200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Objetivo</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19</xdr:col>
      <xdr:colOff>352425</xdr:colOff>
      <xdr:row>68</xdr:row>
      <xdr:rowOff>47625</xdr:rowOff>
    </xdr:from>
    <xdr:to>
      <xdr:col>21</xdr:col>
      <xdr:colOff>247650</xdr:colOff>
      <xdr:row>69</xdr:row>
      <xdr:rowOff>152400</xdr:rowOff>
    </xdr:to>
    <xdr:sp macro="" textlink="">
      <xdr:nvSpPr>
        <xdr:cNvPr id="17" name="Rectángulo: esquinas redondeadas 16">
          <a:hlinkClick xmlns:r="http://schemas.openxmlformats.org/officeDocument/2006/relationships" r:id="rId14"/>
          <a:extLst>
            <a:ext uri="{FF2B5EF4-FFF2-40B4-BE49-F238E27FC236}">
              <a16:creationId xmlns:a16="http://schemas.microsoft.com/office/drawing/2014/main" id="{E46E5006-1C13-4B6C-BC9C-A40B52E76489}"/>
            </a:ext>
          </a:extLst>
        </xdr:cNvPr>
        <xdr:cNvSpPr/>
      </xdr:nvSpPr>
      <xdr:spPr>
        <a:xfrm>
          <a:off x="4924425" y="4562475"/>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Datos</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14</xdr:col>
      <xdr:colOff>171450</xdr:colOff>
      <xdr:row>70</xdr:row>
      <xdr:rowOff>19049</xdr:rowOff>
    </xdr:from>
    <xdr:to>
      <xdr:col>16</xdr:col>
      <xdr:colOff>200025</xdr:colOff>
      <xdr:row>72</xdr:row>
      <xdr:rowOff>104774</xdr:rowOff>
    </xdr:to>
    <xdr:sp macro="" textlink="">
      <xdr:nvSpPr>
        <xdr:cNvPr id="18" name="Rectángulo: esquinas redondeadas 17">
          <a:hlinkClick xmlns:r="http://schemas.openxmlformats.org/officeDocument/2006/relationships" r:id="rId15"/>
          <a:extLst>
            <a:ext uri="{FF2B5EF4-FFF2-40B4-BE49-F238E27FC236}">
              <a16:creationId xmlns:a16="http://schemas.microsoft.com/office/drawing/2014/main" id="{5763032E-B4AD-4580-92D6-D17D38222395}"/>
            </a:ext>
          </a:extLst>
        </xdr:cNvPr>
        <xdr:cNvSpPr/>
      </xdr:nvSpPr>
      <xdr:spPr>
        <a:xfrm>
          <a:off x="933450" y="4914899"/>
          <a:ext cx="1552575" cy="4667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Balance</a:t>
          </a:r>
          <a:r>
            <a:rPr lang="es-MX" sz="1100" baseline="0">
              <a:solidFill>
                <a:schemeClr val="accent1"/>
              </a:solidFill>
              <a:latin typeface="Courier New" panose="02070309020205020404" pitchFamily="49" charset="0"/>
              <a:cs typeface="Courier New" panose="02070309020205020404" pitchFamily="49" charset="0"/>
            </a:rPr>
            <a:t> General Incial</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16</xdr:col>
      <xdr:colOff>342900</xdr:colOff>
      <xdr:row>70</xdr:row>
      <xdr:rowOff>19050</xdr:rowOff>
    </xdr:from>
    <xdr:to>
      <xdr:col>18</xdr:col>
      <xdr:colOff>238125</xdr:colOff>
      <xdr:row>72</xdr:row>
      <xdr:rowOff>104775</xdr:rowOff>
    </xdr:to>
    <xdr:sp macro="" textlink="">
      <xdr:nvSpPr>
        <xdr:cNvPr id="19" name="Rectángulo: esquinas redondeadas 18">
          <a:hlinkClick xmlns:r="http://schemas.openxmlformats.org/officeDocument/2006/relationships" r:id="rId16"/>
          <a:extLst>
            <a:ext uri="{FF2B5EF4-FFF2-40B4-BE49-F238E27FC236}">
              <a16:creationId xmlns:a16="http://schemas.microsoft.com/office/drawing/2014/main" id="{E3AB9734-90C4-47D0-A88D-E92B27480062}"/>
            </a:ext>
          </a:extLst>
        </xdr:cNvPr>
        <xdr:cNvSpPr/>
      </xdr:nvSpPr>
      <xdr:spPr>
        <a:xfrm>
          <a:off x="2628900" y="4914900"/>
          <a:ext cx="1419225" cy="4667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Estado</a:t>
          </a:r>
          <a:r>
            <a:rPr lang="es-MX" sz="1100" baseline="0">
              <a:solidFill>
                <a:schemeClr val="accent1"/>
              </a:solidFill>
              <a:latin typeface="Courier New" panose="02070309020205020404" pitchFamily="49" charset="0"/>
              <a:cs typeface="Courier New" panose="02070309020205020404" pitchFamily="49" charset="0"/>
            </a:rPr>
            <a:t> De Resultados</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18</xdr:col>
      <xdr:colOff>342900</xdr:colOff>
      <xdr:row>70</xdr:row>
      <xdr:rowOff>95250</xdr:rowOff>
    </xdr:from>
    <xdr:to>
      <xdr:col>20</xdr:col>
      <xdr:colOff>238125</xdr:colOff>
      <xdr:row>72</xdr:row>
      <xdr:rowOff>9525</xdr:rowOff>
    </xdr:to>
    <xdr:sp macro="" textlink="">
      <xdr:nvSpPr>
        <xdr:cNvPr id="20" name="Rectángulo: esquinas redondeadas 19">
          <a:hlinkClick xmlns:r="http://schemas.openxmlformats.org/officeDocument/2006/relationships" r:id="rId17"/>
          <a:extLst>
            <a:ext uri="{FF2B5EF4-FFF2-40B4-BE49-F238E27FC236}">
              <a16:creationId xmlns:a16="http://schemas.microsoft.com/office/drawing/2014/main" id="{D450CE8E-7E7C-4208-A34A-2E3E248F83C9}"/>
            </a:ext>
          </a:extLst>
        </xdr:cNvPr>
        <xdr:cNvSpPr/>
      </xdr:nvSpPr>
      <xdr:spPr>
        <a:xfrm>
          <a:off x="4152900" y="499110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FNE</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15</xdr:col>
      <xdr:colOff>276225</xdr:colOff>
      <xdr:row>73</xdr:row>
      <xdr:rowOff>0</xdr:rowOff>
    </xdr:from>
    <xdr:to>
      <xdr:col>17</xdr:col>
      <xdr:colOff>257175</xdr:colOff>
      <xdr:row>74</xdr:row>
      <xdr:rowOff>104775</xdr:rowOff>
    </xdr:to>
    <xdr:sp macro="" textlink="">
      <xdr:nvSpPr>
        <xdr:cNvPr id="21" name="Rectángulo: esquinas redondeadas 20">
          <a:hlinkClick xmlns:r="http://schemas.openxmlformats.org/officeDocument/2006/relationships" r:id="rId18"/>
          <a:extLst>
            <a:ext uri="{FF2B5EF4-FFF2-40B4-BE49-F238E27FC236}">
              <a16:creationId xmlns:a16="http://schemas.microsoft.com/office/drawing/2014/main" id="{E96B837B-B309-4748-B2F0-217282F27464}"/>
            </a:ext>
          </a:extLst>
        </xdr:cNvPr>
        <xdr:cNvSpPr/>
      </xdr:nvSpPr>
      <xdr:spPr>
        <a:xfrm>
          <a:off x="1800225" y="5467350"/>
          <a:ext cx="1504950"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Balance</a:t>
          </a:r>
          <a:r>
            <a:rPr lang="es-MX" sz="1100" baseline="0">
              <a:solidFill>
                <a:schemeClr val="accent1"/>
              </a:solidFill>
              <a:latin typeface="Courier New" panose="02070309020205020404" pitchFamily="49" charset="0"/>
              <a:cs typeface="Courier New" panose="02070309020205020404" pitchFamily="49" charset="0"/>
            </a:rPr>
            <a:t> General</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17</xdr:col>
      <xdr:colOff>342900</xdr:colOff>
      <xdr:row>72</xdr:row>
      <xdr:rowOff>161925</xdr:rowOff>
    </xdr:from>
    <xdr:to>
      <xdr:col>19</xdr:col>
      <xdr:colOff>381000</xdr:colOff>
      <xdr:row>75</xdr:row>
      <xdr:rowOff>104775</xdr:rowOff>
    </xdr:to>
    <xdr:sp macro="" textlink="">
      <xdr:nvSpPr>
        <xdr:cNvPr id="22" name="Rectángulo: esquinas redondeadas 21">
          <a:hlinkClick xmlns:r="http://schemas.openxmlformats.org/officeDocument/2006/relationships" r:id="rId19"/>
          <a:extLst>
            <a:ext uri="{FF2B5EF4-FFF2-40B4-BE49-F238E27FC236}">
              <a16:creationId xmlns:a16="http://schemas.microsoft.com/office/drawing/2014/main" id="{26248C94-DF0E-4B64-89EE-F67EEFB7159D}"/>
            </a:ext>
          </a:extLst>
        </xdr:cNvPr>
        <xdr:cNvSpPr/>
      </xdr:nvSpPr>
      <xdr:spPr>
        <a:xfrm>
          <a:off x="3390900" y="5438775"/>
          <a:ext cx="1562100" cy="5143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Métodos</a:t>
          </a:r>
          <a:r>
            <a:rPr lang="es-MX" sz="1100" baseline="0">
              <a:solidFill>
                <a:schemeClr val="accent1"/>
              </a:solidFill>
              <a:latin typeface="Courier New" panose="02070309020205020404" pitchFamily="49" charset="0"/>
              <a:cs typeface="Courier New" panose="02070309020205020404" pitchFamily="49" charset="0"/>
            </a:rPr>
            <a:t> Evaluación</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16</xdr:col>
      <xdr:colOff>333375</xdr:colOff>
      <xdr:row>76</xdr:row>
      <xdr:rowOff>9525</xdr:rowOff>
    </xdr:from>
    <xdr:to>
      <xdr:col>18</xdr:col>
      <xdr:colOff>466725</xdr:colOff>
      <xdr:row>77</xdr:row>
      <xdr:rowOff>114300</xdr:rowOff>
    </xdr:to>
    <xdr:sp macro="" textlink="">
      <xdr:nvSpPr>
        <xdr:cNvPr id="23" name="Rectángulo: esquinas redondeadas 22">
          <a:hlinkClick xmlns:r="http://schemas.openxmlformats.org/officeDocument/2006/relationships" r:id="rId20"/>
          <a:extLst>
            <a:ext uri="{FF2B5EF4-FFF2-40B4-BE49-F238E27FC236}">
              <a16:creationId xmlns:a16="http://schemas.microsoft.com/office/drawing/2014/main" id="{71C4F365-0E0A-44D4-82E0-87A28B5ECCAE}"/>
            </a:ext>
          </a:extLst>
        </xdr:cNvPr>
        <xdr:cNvSpPr/>
      </xdr:nvSpPr>
      <xdr:spPr>
        <a:xfrm>
          <a:off x="2619375" y="6048375"/>
          <a:ext cx="1657350"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Punto</a:t>
          </a:r>
          <a:r>
            <a:rPr lang="es-MX" sz="1100" baseline="0">
              <a:solidFill>
                <a:schemeClr val="accent1"/>
              </a:solidFill>
              <a:latin typeface="Courier New" panose="02070309020205020404" pitchFamily="49" charset="0"/>
              <a:cs typeface="Courier New" panose="02070309020205020404" pitchFamily="49" charset="0"/>
            </a:rPr>
            <a:t> Equilibrio</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GilbertoIrving/Music/Pr&#225;ctica-6%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ortada"/>
      <sheetName val="Datos"/>
      <sheetName val="Estado de resultados"/>
      <sheetName val="Balances"/>
      <sheetName val="Metodos"/>
      <sheetName val="Punto de equilibrio"/>
    </sheetNames>
    <sheetDataSet>
      <sheetData sheetId="0"/>
      <sheetData sheetId="1"/>
      <sheetData sheetId="2"/>
      <sheetData sheetId="3"/>
      <sheetData sheetId="4"/>
      <sheetData sheetId="5">
        <row r="5">
          <cell r="F5">
            <v>300.60000000000002</v>
          </cell>
        </row>
        <row r="6">
          <cell r="F6"/>
        </row>
        <row r="7">
          <cell r="F7"/>
        </row>
        <row r="8">
          <cell r="F8">
            <v>240480</v>
          </cell>
        </row>
        <row r="9">
          <cell r="F9"/>
        </row>
        <row r="10">
          <cell r="F10"/>
        </row>
        <row r="58">
          <cell r="C58">
            <v>200</v>
          </cell>
          <cell r="D58">
            <v>300</v>
          </cell>
          <cell r="E58">
            <v>400</v>
          </cell>
          <cell r="F58">
            <v>500</v>
          </cell>
          <cell r="G58">
            <v>200</v>
          </cell>
          <cell r="H58">
            <v>300</v>
          </cell>
          <cell r="I58">
            <v>400</v>
          </cell>
          <cell r="J58">
            <v>500</v>
          </cell>
        </row>
        <row r="59">
          <cell r="C59">
            <v>109700</v>
          </cell>
          <cell r="D59">
            <v>239700</v>
          </cell>
          <cell r="E59">
            <v>369700</v>
          </cell>
          <cell r="F59">
            <v>499700</v>
          </cell>
          <cell r="G59">
            <v>210300</v>
          </cell>
          <cell r="H59">
            <v>240300</v>
          </cell>
          <cell r="I59">
            <v>270300</v>
          </cell>
          <cell r="J59">
            <v>300300</v>
          </cell>
          <cell r="K59">
            <v>150300</v>
          </cell>
          <cell r="L59">
            <v>150300</v>
          </cell>
          <cell r="M59">
            <v>150300</v>
          </cell>
          <cell r="N59">
            <v>150300</v>
          </cell>
        </row>
      </sheetData>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4FA84-95E8-4F32-B5FC-E212ECACA188}">
  <dimension ref="A1:J23"/>
  <sheetViews>
    <sheetView showGridLines="0" tabSelected="1" topLeftCell="A16" workbookViewId="0">
      <selection activeCell="L28" sqref="L28"/>
    </sheetView>
  </sheetViews>
  <sheetFormatPr baseColWidth="10" defaultRowHeight="15" x14ac:dyDescent="0.25"/>
  <sheetData>
    <row r="1" spans="1:10" x14ac:dyDescent="0.25">
      <c r="A1" s="1"/>
      <c r="B1" s="1"/>
      <c r="C1" s="1"/>
      <c r="D1" s="1"/>
      <c r="E1" s="1"/>
      <c r="F1" s="1"/>
      <c r="G1" s="1"/>
      <c r="H1" s="1"/>
      <c r="I1" s="1"/>
      <c r="J1" s="1"/>
    </row>
    <row r="2" spans="1:10" x14ac:dyDescent="0.25">
      <c r="A2" s="1"/>
      <c r="B2" s="1"/>
      <c r="C2" s="1"/>
      <c r="D2" s="1"/>
      <c r="E2" s="1"/>
      <c r="F2" s="1"/>
      <c r="G2" s="1"/>
      <c r="H2" s="1"/>
      <c r="I2" s="1"/>
      <c r="J2" s="1"/>
    </row>
    <row r="3" spans="1:10" x14ac:dyDescent="0.25">
      <c r="A3" s="1"/>
      <c r="B3" s="1"/>
      <c r="C3" s="1"/>
      <c r="D3" s="1"/>
      <c r="E3" s="1"/>
      <c r="F3" s="1"/>
      <c r="G3" s="1"/>
      <c r="H3" s="1"/>
      <c r="I3" s="1"/>
      <c r="J3" s="1"/>
    </row>
    <row r="4" spans="1:10" x14ac:dyDescent="0.25">
      <c r="A4" s="1"/>
      <c r="B4" s="1"/>
      <c r="C4" s="1"/>
      <c r="D4" s="1"/>
      <c r="E4" s="1"/>
      <c r="F4" s="1"/>
      <c r="G4" s="1"/>
      <c r="H4" s="1"/>
      <c r="I4" s="1"/>
      <c r="J4" s="1"/>
    </row>
    <row r="5" spans="1:10" x14ac:dyDescent="0.25">
      <c r="A5" s="1"/>
      <c r="B5" s="1"/>
      <c r="C5" s="1"/>
      <c r="D5" s="1"/>
      <c r="E5" s="1"/>
      <c r="F5" s="1"/>
      <c r="G5" s="1"/>
      <c r="H5" s="1"/>
      <c r="I5" s="1"/>
      <c r="J5" s="1"/>
    </row>
    <row r="6" spans="1:10" ht="16.5" x14ac:dyDescent="0.3">
      <c r="A6" s="1"/>
      <c r="B6" s="1"/>
      <c r="C6" s="14" t="s">
        <v>0</v>
      </c>
      <c r="D6" s="14"/>
      <c r="E6" s="14"/>
      <c r="F6" s="14"/>
      <c r="G6" s="14"/>
      <c r="H6" s="1"/>
      <c r="I6" s="1"/>
      <c r="J6" s="1"/>
    </row>
    <row r="7" spans="1:10" x14ac:dyDescent="0.25">
      <c r="A7" s="1"/>
      <c r="B7" s="1"/>
      <c r="C7" s="1"/>
      <c r="D7" s="1"/>
      <c r="E7" s="1"/>
      <c r="F7" s="1"/>
      <c r="G7" s="1"/>
      <c r="H7" s="1"/>
      <c r="I7" s="1"/>
      <c r="J7" s="1"/>
    </row>
    <row r="8" spans="1:10" ht="16.5" x14ac:dyDescent="0.3">
      <c r="A8" s="1"/>
      <c r="B8" s="1"/>
      <c r="C8" s="14" t="s">
        <v>1</v>
      </c>
      <c r="D8" s="14"/>
      <c r="E8" s="14"/>
      <c r="F8" s="14"/>
      <c r="G8" s="14"/>
      <c r="H8" s="1"/>
      <c r="I8" s="1"/>
      <c r="J8" s="1"/>
    </row>
    <row r="9" spans="1:10" x14ac:dyDescent="0.25">
      <c r="A9" s="1"/>
      <c r="B9" s="1"/>
      <c r="C9" s="1"/>
      <c r="D9" s="1"/>
      <c r="E9" s="1"/>
      <c r="F9" s="1"/>
      <c r="G9" s="1"/>
      <c r="H9" s="1"/>
      <c r="I9" s="1"/>
      <c r="J9" s="1"/>
    </row>
    <row r="10" spans="1:10" x14ac:dyDescent="0.25">
      <c r="A10" s="1"/>
      <c r="B10" s="1"/>
      <c r="C10" s="1"/>
      <c r="D10" s="1"/>
      <c r="E10" s="1"/>
      <c r="F10" s="1"/>
      <c r="G10" s="1"/>
      <c r="H10" s="1"/>
      <c r="I10" s="1"/>
      <c r="J10" s="1"/>
    </row>
    <row r="11" spans="1:10" x14ac:dyDescent="0.25">
      <c r="A11" s="1"/>
      <c r="B11" s="1"/>
      <c r="C11" s="1"/>
      <c r="D11" s="1"/>
      <c r="E11" s="1"/>
      <c r="F11" s="1"/>
      <c r="G11" s="1"/>
      <c r="H11" s="1"/>
      <c r="I11" s="1"/>
      <c r="J11" s="1"/>
    </row>
    <row r="12" spans="1:10" x14ac:dyDescent="0.25">
      <c r="A12" s="1"/>
      <c r="B12" s="1"/>
      <c r="C12" s="1"/>
      <c r="D12" s="1"/>
      <c r="E12" s="1"/>
      <c r="F12" s="1"/>
      <c r="G12" s="1"/>
      <c r="H12" s="1"/>
      <c r="I12" s="1"/>
      <c r="J12" s="1"/>
    </row>
    <row r="13" spans="1:10" x14ac:dyDescent="0.25">
      <c r="A13" s="1"/>
      <c r="B13" s="1"/>
      <c r="C13" s="1"/>
      <c r="D13" s="1"/>
      <c r="E13" s="1"/>
      <c r="F13" s="1"/>
      <c r="G13" s="1"/>
      <c r="H13" s="1"/>
      <c r="I13" s="1"/>
      <c r="J13" s="1"/>
    </row>
    <row r="14" spans="1:10" ht="16.5" x14ac:dyDescent="0.3">
      <c r="A14" s="1"/>
      <c r="B14" s="1"/>
      <c r="C14" s="14" t="s">
        <v>2</v>
      </c>
      <c r="D14" s="14"/>
      <c r="E14" s="14"/>
      <c r="F14" s="14"/>
      <c r="G14" s="14"/>
      <c r="H14" s="1"/>
      <c r="I14" s="1"/>
      <c r="J14" s="1"/>
    </row>
    <row r="15" spans="1:10" x14ac:dyDescent="0.25">
      <c r="A15" s="1"/>
      <c r="B15" s="1"/>
      <c r="C15" s="1"/>
      <c r="D15" s="1"/>
      <c r="E15" s="1"/>
      <c r="F15" s="1"/>
      <c r="G15" s="1"/>
      <c r="H15" s="1"/>
      <c r="I15" s="1"/>
      <c r="J15" s="1"/>
    </row>
    <row r="16" spans="1:10" ht="16.5" x14ac:dyDescent="0.3">
      <c r="A16" s="1"/>
      <c r="B16" s="1"/>
      <c r="C16" s="14" t="s">
        <v>6</v>
      </c>
      <c r="D16" s="14"/>
      <c r="E16" s="14"/>
      <c r="F16" s="14"/>
      <c r="G16" s="14"/>
      <c r="H16" s="1"/>
      <c r="I16" s="1"/>
      <c r="J16" s="1"/>
    </row>
    <row r="17" spans="1:10" x14ac:dyDescent="0.25">
      <c r="A17" s="1"/>
      <c r="B17" s="1"/>
      <c r="C17" s="2"/>
      <c r="D17" s="1"/>
      <c r="E17" s="1"/>
      <c r="F17" s="1"/>
      <c r="G17" s="1"/>
      <c r="H17" s="1"/>
      <c r="I17" s="1"/>
      <c r="J17" s="1"/>
    </row>
    <row r="18" spans="1:10" ht="16.5" x14ac:dyDescent="0.3">
      <c r="A18" s="1"/>
      <c r="B18" s="1"/>
      <c r="C18" s="14" t="s">
        <v>3</v>
      </c>
      <c r="D18" s="14"/>
      <c r="E18" s="14"/>
      <c r="F18" s="14"/>
      <c r="G18" s="14"/>
      <c r="H18" s="1"/>
      <c r="I18" s="1"/>
      <c r="J18" s="1"/>
    </row>
    <row r="19" spans="1:10" x14ac:dyDescent="0.25">
      <c r="A19" s="1"/>
      <c r="B19" s="1"/>
      <c r="C19" s="1"/>
      <c r="D19" s="1"/>
      <c r="E19" s="1"/>
      <c r="F19" s="1"/>
      <c r="G19" s="1"/>
      <c r="H19" s="1"/>
      <c r="I19" s="1"/>
      <c r="J19" s="1"/>
    </row>
    <row r="20" spans="1:10" ht="16.5" x14ac:dyDescent="0.3">
      <c r="A20" s="1"/>
      <c r="B20" s="1"/>
      <c r="C20" s="14" t="s">
        <v>4</v>
      </c>
      <c r="D20" s="14"/>
      <c r="E20" s="14"/>
      <c r="F20" s="14"/>
      <c r="G20" s="14"/>
      <c r="H20" s="1"/>
      <c r="I20" s="1"/>
      <c r="J20" s="1"/>
    </row>
    <row r="21" spans="1:10" x14ac:dyDescent="0.25">
      <c r="A21" s="1"/>
      <c r="B21" s="1"/>
      <c r="C21" s="1"/>
      <c r="D21" s="1"/>
      <c r="E21" s="1"/>
      <c r="F21" s="1"/>
      <c r="G21" s="1"/>
      <c r="H21" s="1"/>
      <c r="I21" s="1"/>
      <c r="J21" s="1"/>
    </row>
    <row r="22" spans="1:10" ht="16.5" x14ac:dyDescent="0.3">
      <c r="A22" s="1"/>
      <c r="B22" s="1"/>
      <c r="C22" s="14" t="s">
        <v>5</v>
      </c>
      <c r="D22" s="14"/>
      <c r="E22" s="14"/>
      <c r="F22" s="14"/>
      <c r="G22" s="14"/>
      <c r="H22" s="1"/>
      <c r="I22" s="1"/>
      <c r="J22" s="1"/>
    </row>
    <row r="23" spans="1:10" x14ac:dyDescent="0.25">
      <c r="A23" s="1"/>
      <c r="B23" s="1"/>
      <c r="C23" s="1"/>
      <c r="D23" s="1"/>
      <c r="E23" s="1"/>
      <c r="F23" s="1"/>
      <c r="G23" s="1"/>
      <c r="H23" s="1"/>
      <c r="I23" s="1"/>
      <c r="J23" s="1"/>
    </row>
  </sheetData>
  <mergeCells count="7">
    <mergeCell ref="C22:G22"/>
    <mergeCell ref="C6:G6"/>
    <mergeCell ref="C8:G8"/>
    <mergeCell ref="C14:G14"/>
    <mergeCell ref="C16:G16"/>
    <mergeCell ref="C18:G18"/>
    <mergeCell ref="C20:G20"/>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E2905-984B-47E8-8EDF-8161749654D7}">
  <dimension ref="A1:K107"/>
  <sheetViews>
    <sheetView showGridLines="0" topLeftCell="A91" workbookViewId="0">
      <selection activeCell="L100" sqref="L100"/>
    </sheetView>
  </sheetViews>
  <sheetFormatPr baseColWidth="10" defaultRowHeight="15" x14ac:dyDescent="0.25"/>
  <cols>
    <col min="1" max="16384" width="11.42578125" style="3"/>
  </cols>
  <sheetData>
    <row r="1" spans="1:11" ht="19.5" x14ac:dyDescent="0.35">
      <c r="A1" s="16" t="s">
        <v>54</v>
      </c>
      <c r="B1" s="16"/>
      <c r="C1" s="16"/>
      <c r="D1" s="16"/>
      <c r="E1" s="16"/>
      <c r="F1" s="16"/>
      <c r="G1" s="16"/>
      <c r="H1" s="16"/>
      <c r="I1" s="16"/>
      <c r="J1" s="16"/>
      <c r="K1" s="16"/>
    </row>
    <row r="3" spans="1:11" ht="15.75" x14ac:dyDescent="0.3">
      <c r="A3" s="15" t="s">
        <v>56</v>
      </c>
      <c r="B3" s="15"/>
      <c r="C3" s="15"/>
      <c r="D3" s="15"/>
      <c r="E3" s="15"/>
      <c r="F3" s="15"/>
      <c r="G3" s="15"/>
      <c r="H3" s="15"/>
      <c r="I3" s="15"/>
      <c r="J3" s="15"/>
      <c r="K3" s="15"/>
    </row>
    <row r="4" spans="1:11" ht="15" customHeight="1" x14ac:dyDescent="0.25">
      <c r="A4" s="17" t="s">
        <v>55</v>
      </c>
      <c r="B4" s="17"/>
      <c r="C4" s="17"/>
      <c r="D4" s="17"/>
      <c r="E4" s="17"/>
      <c r="F4" s="17"/>
      <c r="G4" s="17"/>
      <c r="H4" s="17"/>
      <c r="I4" s="17"/>
      <c r="J4" s="17"/>
      <c r="K4" s="17"/>
    </row>
    <row r="5" spans="1:11" x14ac:dyDescent="0.25">
      <c r="A5" s="17"/>
      <c r="B5" s="17"/>
      <c r="C5" s="17"/>
      <c r="D5" s="17"/>
      <c r="E5" s="17"/>
      <c r="F5" s="17"/>
      <c r="G5" s="17"/>
      <c r="H5" s="17"/>
      <c r="I5" s="17"/>
      <c r="J5" s="17"/>
      <c r="K5" s="17"/>
    </row>
    <row r="6" spans="1:11" x14ac:dyDescent="0.25">
      <c r="A6" s="17"/>
      <c r="B6" s="17"/>
      <c r="C6" s="17"/>
      <c r="D6" s="17"/>
      <c r="E6" s="17"/>
      <c r="F6" s="17"/>
      <c r="G6" s="17"/>
      <c r="H6" s="17"/>
      <c r="I6" s="17"/>
      <c r="J6" s="17"/>
      <c r="K6" s="17"/>
    </row>
    <row r="7" spans="1:11" x14ac:dyDescent="0.25">
      <c r="A7" s="17"/>
      <c r="B7" s="17"/>
      <c r="C7" s="17"/>
      <c r="D7" s="17"/>
      <c r="E7" s="17"/>
      <c r="F7" s="17"/>
      <c r="G7" s="17"/>
      <c r="H7" s="17"/>
      <c r="I7" s="17"/>
      <c r="J7" s="17"/>
      <c r="K7" s="17"/>
    </row>
    <row r="8" spans="1:11" x14ac:dyDescent="0.25">
      <c r="A8" s="17"/>
      <c r="B8" s="17"/>
      <c r="C8" s="17"/>
      <c r="D8" s="17"/>
      <c r="E8" s="17"/>
      <c r="F8" s="17"/>
      <c r="G8" s="17"/>
      <c r="H8" s="17"/>
      <c r="I8" s="17"/>
      <c r="J8" s="17"/>
      <c r="K8" s="17"/>
    </row>
    <row r="10" spans="1:11" ht="15.75" x14ac:dyDescent="0.3">
      <c r="A10" s="15" t="s">
        <v>57</v>
      </c>
      <c r="B10" s="15"/>
      <c r="C10" s="15"/>
      <c r="D10" s="15"/>
      <c r="E10" s="15"/>
      <c r="F10" s="15"/>
      <c r="G10" s="15"/>
      <c r="H10" s="15"/>
      <c r="I10" s="15"/>
      <c r="J10" s="15"/>
      <c r="K10" s="15"/>
    </row>
    <row r="19" spans="1:11" ht="15.75" x14ac:dyDescent="0.3">
      <c r="A19" s="15" t="s">
        <v>58</v>
      </c>
      <c r="B19" s="15"/>
      <c r="C19" s="15"/>
      <c r="D19" s="15"/>
      <c r="E19" s="15"/>
      <c r="F19" s="15"/>
      <c r="G19" s="15"/>
      <c r="H19" s="15"/>
      <c r="I19" s="15"/>
      <c r="J19" s="15"/>
      <c r="K19" s="15"/>
    </row>
    <row r="28" spans="1:11" ht="15.75" x14ac:dyDescent="0.3">
      <c r="A28" s="15" t="s">
        <v>59</v>
      </c>
      <c r="B28" s="15"/>
      <c r="C28" s="15"/>
      <c r="D28" s="15"/>
      <c r="E28" s="15"/>
      <c r="F28" s="15"/>
      <c r="G28" s="15"/>
      <c r="H28" s="15"/>
      <c r="I28" s="15"/>
      <c r="J28" s="15"/>
      <c r="K28" s="15"/>
    </row>
    <row r="34" spans="1:11" ht="15.75" x14ac:dyDescent="0.3">
      <c r="A34" s="15" t="s">
        <v>60</v>
      </c>
      <c r="B34" s="15"/>
      <c r="C34" s="15"/>
      <c r="D34" s="15"/>
      <c r="E34" s="15"/>
      <c r="F34" s="15"/>
      <c r="G34" s="15"/>
      <c r="H34" s="15"/>
      <c r="I34" s="15"/>
      <c r="J34" s="15"/>
      <c r="K34" s="15"/>
    </row>
    <row r="43" spans="1:11" ht="15.75" x14ac:dyDescent="0.3">
      <c r="A43" s="15" t="s">
        <v>61</v>
      </c>
      <c r="B43" s="15"/>
      <c r="C43" s="15"/>
      <c r="D43" s="15"/>
      <c r="E43" s="15"/>
      <c r="F43" s="15"/>
      <c r="G43" s="15"/>
      <c r="H43" s="15"/>
      <c r="I43" s="15"/>
      <c r="J43" s="15"/>
      <c r="K43" s="15"/>
    </row>
    <row r="63" spans="1:11" ht="15.75" x14ac:dyDescent="0.3">
      <c r="A63" s="15" t="s">
        <v>62</v>
      </c>
      <c r="B63" s="15"/>
      <c r="C63" s="15"/>
      <c r="D63" s="15"/>
      <c r="E63" s="15"/>
      <c r="F63" s="15"/>
      <c r="G63" s="15"/>
      <c r="H63" s="15"/>
      <c r="I63" s="15"/>
      <c r="J63" s="15"/>
      <c r="K63" s="15"/>
    </row>
    <row r="80" spans="1:11" ht="15.75" x14ac:dyDescent="0.3">
      <c r="A80" s="15" t="s">
        <v>63</v>
      </c>
      <c r="B80" s="15"/>
      <c r="C80" s="15"/>
      <c r="D80" s="15"/>
      <c r="E80" s="15"/>
      <c r="F80" s="15"/>
      <c r="G80" s="15"/>
      <c r="H80" s="15"/>
      <c r="I80" s="15"/>
      <c r="J80" s="15"/>
      <c r="K80" s="15"/>
    </row>
    <row r="97" spans="1:9" x14ac:dyDescent="0.25">
      <c r="A97" s="1"/>
      <c r="B97" s="1"/>
      <c r="C97" s="1"/>
      <c r="D97" s="1"/>
      <c r="E97" s="1"/>
      <c r="F97" s="1"/>
      <c r="G97" s="1"/>
      <c r="H97" s="1"/>
      <c r="I97" s="1"/>
    </row>
    <row r="98" spans="1:9" x14ac:dyDescent="0.25">
      <c r="A98"/>
      <c r="B98"/>
      <c r="C98"/>
      <c r="D98"/>
      <c r="E98"/>
      <c r="F98"/>
      <c r="G98"/>
      <c r="H98"/>
      <c r="I98"/>
    </row>
    <row r="99" spans="1:9" x14ac:dyDescent="0.25">
      <c r="A99"/>
      <c r="B99"/>
      <c r="C99"/>
      <c r="D99"/>
      <c r="E99"/>
      <c r="F99"/>
      <c r="G99"/>
      <c r="H99"/>
      <c r="I99"/>
    </row>
    <row r="100" spans="1:9" x14ac:dyDescent="0.25">
      <c r="A100"/>
      <c r="B100"/>
      <c r="C100"/>
      <c r="D100"/>
      <c r="E100"/>
      <c r="F100"/>
      <c r="G100"/>
      <c r="H100"/>
      <c r="I100"/>
    </row>
    <row r="101" spans="1:9" x14ac:dyDescent="0.25">
      <c r="A101"/>
      <c r="B101"/>
      <c r="C101"/>
      <c r="D101"/>
      <c r="E101"/>
      <c r="F101"/>
      <c r="G101"/>
      <c r="H101"/>
      <c r="I101"/>
    </row>
    <row r="102" spans="1:9" x14ac:dyDescent="0.25">
      <c r="A102"/>
      <c r="B102"/>
      <c r="C102"/>
      <c r="D102"/>
      <c r="E102"/>
      <c r="F102"/>
      <c r="G102"/>
      <c r="H102"/>
      <c r="I102"/>
    </row>
    <row r="103" spans="1:9" x14ac:dyDescent="0.25">
      <c r="A103"/>
      <c r="B103"/>
      <c r="C103"/>
      <c r="D103"/>
      <c r="E103"/>
      <c r="F103"/>
      <c r="G103"/>
      <c r="H103"/>
      <c r="I103"/>
    </row>
    <row r="104" spans="1:9" x14ac:dyDescent="0.25">
      <c r="A104"/>
      <c r="B104"/>
      <c r="C104"/>
      <c r="D104"/>
      <c r="E104"/>
      <c r="F104"/>
      <c r="G104"/>
      <c r="H104"/>
      <c r="I104"/>
    </row>
    <row r="105" spans="1:9" x14ac:dyDescent="0.25">
      <c r="A105"/>
      <c r="B105"/>
      <c r="C105"/>
      <c r="D105"/>
      <c r="E105"/>
      <c r="F105"/>
      <c r="G105"/>
      <c r="H105"/>
      <c r="I105"/>
    </row>
    <row r="106" spans="1:9" x14ac:dyDescent="0.25">
      <c r="A106"/>
      <c r="B106"/>
      <c r="C106"/>
      <c r="D106"/>
      <c r="E106"/>
      <c r="F106"/>
      <c r="G106"/>
      <c r="H106"/>
      <c r="I106"/>
    </row>
    <row r="107" spans="1:9" x14ac:dyDescent="0.25">
      <c r="A107"/>
      <c r="B107"/>
      <c r="C107"/>
      <c r="D107"/>
      <c r="E107"/>
      <c r="F107"/>
      <c r="G107"/>
      <c r="H107"/>
      <c r="I107"/>
    </row>
  </sheetData>
  <mergeCells count="10">
    <mergeCell ref="A80:K80"/>
    <mergeCell ref="A1:K1"/>
    <mergeCell ref="A3:K3"/>
    <mergeCell ref="A4:K8"/>
    <mergeCell ref="A10:K10"/>
    <mergeCell ref="A19:K19"/>
    <mergeCell ref="A28:K28"/>
    <mergeCell ref="A34:K34"/>
    <mergeCell ref="A43:K43"/>
    <mergeCell ref="A63:K63"/>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893493-0090-4DFC-9A28-E8C3931A6544}">
  <dimension ref="A1:J19"/>
  <sheetViews>
    <sheetView showGridLines="0" workbookViewId="0">
      <selection activeCell="J18" sqref="J18"/>
    </sheetView>
  </sheetViews>
  <sheetFormatPr baseColWidth="10" defaultRowHeight="15" x14ac:dyDescent="0.25"/>
  <cols>
    <col min="1" max="16384" width="11.42578125" style="3"/>
  </cols>
  <sheetData>
    <row r="1" spans="1:10" ht="19.5" x14ac:dyDescent="0.35">
      <c r="A1" s="16" t="s">
        <v>64</v>
      </c>
      <c r="B1" s="16"/>
      <c r="C1" s="16"/>
      <c r="D1" s="16"/>
      <c r="E1" s="16"/>
      <c r="F1" s="16"/>
      <c r="G1" s="16"/>
      <c r="H1" s="16"/>
      <c r="I1" s="16"/>
      <c r="J1" s="16"/>
    </row>
    <row r="9" spans="1:10" x14ac:dyDescent="0.25">
      <c r="A9" s="1"/>
      <c r="B9" s="1"/>
      <c r="C9" s="1"/>
      <c r="D9" s="1"/>
      <c r="E9" s="1"/>
      <c r="F9" s="1"/>
      <c r="G9" s="1"/>
      <c r="H9" s="1"/>
      <c r="I9" s="1"/>
    </row>
    <row r="10" spans="1:10" x14ac:dyDescent="0.25">
      <c r="A10"/>
      <c r="B10"/>
      <c r="C10"/>
      <c r="D10"/>
      <c r="E10"/>
      <c r="F10"/>
      <c r="G10"/>
      <c r="H10"/>
      <c r="I10"/>
    </row>
    <row r="11" spans="1:10" x14ac:dyDescent="0.25">
      <c r="A11"/>
      <c r="B11"/>
      <c r="C11"/>
      <c r="D11"/>
      <c r="E11"/>
      <c r="F11"/>
      <c r="G11"/>
      <c r="H11"/>
      <c r="I11"/>
    </row>
    <row r="12" spans="1:10" x14ac:dyDescent="0.25">
      <c r="A12"/>
      <c r="B12"/>
      <c r="C12"/>
      <c r="D12"/>
      <c r="E12"/>
      <c r="F12"/>
      <c r="G12"/>
      <c r="H12"/>
      <c r="I12"/>
    </row>
    <row r="13" spans="1:10" x14ac:dyDescent="0.25">
      <c r="A13"/>
      <c r="B13"/>
      <c r="C13"/>
      <c r="D13"/>
      <c r="E13"/>
      <c r="F13"/>
      <c r="G13"/>
      <c r="H13"/>
      <c r="I13"/>
    </row>
    <row r="14" spans="1:10" x14ac:dyDescent="0.25">
      <c r="A14"/>
      <c r="B14"/>
      <c r="C14"/>
      <c r="D14"/>
      <c r="E14"/>
      <c r="F14"/>
      <c r="G14"/>
      <c r="H14"/>
      <c r="I14"/>
    </row>
    <row r="15" spans="1:10" x14ac:dyDescent="0.25">
      <c r="A15"/>
      <c r="B15"/>
      <c r="C15"/>
      <c r="D15"/>
      <c r="E15"/>
      <c r="F15"/>
      <c r="G15"/>
      <c r="H15"/>
      <c r="I15"/>
    </row>
    <row r="16" spans="1:10" x14ac:dyDescent="0.25">
      <c r="A16"/>
      <c r="B16"/>
      <c r="C16"/>
      <c r="D16"/>
      <c r="E16"/>
      <c r="F16"/>
      <c r="G16"/>
      <c r="H16"/>
      <c r="I16"/>
    </row>
    <row r="17" spans="1:9" x14ac:dyDescent="0.25">
      <c r="A17"/>
      <c r="B17"/>
      <c r="C17"/>
      <c r="D17"/>
      <c r="E17"/>
      <c r="F17"/>
      <c r="G17"/>
      <c r="H17"/>
      <c r="I17"/>
    </row>
    <row r="18" spans="1:9" x14ac:dyDescent="0.25">
      <c r="A18"/>
      <c r="B18"/>
      <c r="C18"/>
      <c r="D18"/>
      <c r="E18"/>
      <c r="F18"/>
      <c r="G18"/>
      <c r="H18"/>
      <c r="I18"/>
    </row>
    <row r="19" spans="1:9" x14ac:dyDescent="0.25">
      <c r="A19"/>
      <c r="B19"/>
      <c r="C19"/>
      <c r="D19"/>
      <c r="E19"/>
      <c r="F19"/>
      <c r="G19"/>
      <c r="H19"/>
      <c r="I19"/>
    </row>
  </sheetData>
  <mergeCells count="1">
    <mergeCell ref="A1:J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30485-53A3-4396-BDA1-FC9F4A71925C}">
  <dimension ref="A1:N89"/>
  <sheetViews>
    <sheetView showGridLines="0" topLeftCell="A73" workbookViewId="0">
      <selection activeCell="L85" sqref="L85"/>
    </sheetView>
  </sheetViews>
  <sheetFormatPr baseColWidth="10" defaultRowHeight="15" x14ac:dyDescent="0.25"/>
  <cols>
    <col min="1" max="16384" width="11.42578125" style="3"/>
  </cols>
  <sheetData>
    <row r="1" spans="1:14" ht="19.5" x14ac:dyDescent="0.35">
      <c r="A1" s="16" t="s">
        <v>8</v>
      </c>
      <c r="B1" s="16"/>
      <c r="C1" s="16"/>
      <c r="D1" s="16"/>
      <c r="E1" s="16"/>
      <c r="F1" s="16"/>
      <c r="G1" s="16"/>
      <c r="H1" s="16"/>
      <c r="I1" s="16"/>
      <c r="J1" s="16"/>
      <c r="K1" s="16"/>
      <c r="L1" s="16"/>
      <c r="M1" s="16"/>
      <c r="N1" s="16"/>
    </row>
    <row r="3" spans="1:14" ht="15.75" x14ac:dyDescent="0.3">
      <c r="A3" s="29" t="s">
        <v>7</v>
      </c>
      <c r="B3" s="29"/>
      <c r="C3" s="29"/>
      <c r="D3" s="29"/>
      <c r="F3" s="29" t="s">
        <v>16</v>
      </c>
      <c r="G3" s="29"/>
      <c r="H3" s="29"/>
      <c r="I3" s="29"/>
      <c r="J3" s="29"/>
      <c r="K3" s="29"/>
      <c r="L3" s="29"/>
      <c r="M3" s="29"/>
      <c r="N3" s="29"/>
    </row>
    <row r="4" spans="1:14" x14ac:dyDescent="0.25">
      <c r="A4" s="31" t="s">
        <v>9</v>
      </c>
      <c r="B4" s="31"/>
      <c r="C4" s="37">
        <v>20000</v>
      </c>
      <c r="D4" s="37"/>
      <c r="F4" s="21" t="s">
        <v>17</v>
      </c>
      <c r="G4" s="21"/>
      <c r="H4" s="21"/>
      <c r="I4" s="21" t="s">
        <v>18</v>
      </c>
      <c r="J4" s="21"/>
      <c r="K4" s="21"/>
      <c r="L4" s="21" t="s">
        <v>19</v>
      </c>
      <c r="M4" s="21"/>
      <c r="N4" s="21"/>
    </row>
    <row r="5" spans="1:14" x14ac:dyDescent="0.25">
      <c r="A5" s="33" t="s">
        <v>10</v>
      </c>
      <c r="B5" s="33"/>
      <c r="C5" s="20">
        <v>800</v>
      </c>
      <c r="D5" s="20"/>
      <c r="F5" s="20">
        <v>0</v>
      </c>
      <c r="G5" s="20"/>
      <c r="H5" s="20"/>
      <c r="I5" s="20">
        <v>999</v>
      </c>
      <c r="J5" s="20"/>
      <c r="K5" s="20"/>
      <c r="L5" s="35">
        <v>0.05</v>
      </c>
      <c r="M5" s="35"/>
      <c r="N5" s="35"/>
    </row>
    <row r="6" spans="1:14" x14ac:dyDescent="0.25">
      <c r="A6" s="31" t="s">
        <v>11</v>
      </c>
      <c r="B6" s="31"/>
      <c r="C6" s="22">
        <v>100000</v>
      </c>
      <c r="D6" s="22"/>
      <c r="F6" s="22">
        <v>1000</v>
      </c>
      <c r="G6" s="22"/>
      <c r="H6" s="22"/>
      <c r="I6" s="22">
        <v>9999</v>
      </c>
      <c r="J6" s="22"/>
      <c r="K6" s="22"/>
      <c r="L6" s="36">
        <v>0.1</v>
      </c>
      <c r="M6" s="36"/>
      <c r="N6" s="36"/>
    </row>
    <row r="7" spans="1:14" x14ac:dyDescent="0.25">
      <c r="A7" s="33" t="s">
        <v>12</v>
      </c>
      <c r="B7" s="33"/>
      <c r="C7" s="20">
        <v>500000</v>
      </c>
      <c r="D7" s="20"/>
      <c r="F7" s="20">
        <v>10000</v>
      </c>
      <c r="G7" s="20"/>
      <c r="H7" s="20"/>
      <c r="I7" s="20">
        <v>49999</v>
      </c>
      <c r="J7" s="20"/>
      <c r="K7" s="20"/>
      <c r="L7" s="35">
        <v>0.15</v>
      </c>
      <c r="M7" s="35"/>
      <c r="N7" s="35"/>
    </row>
    <row r="8" spans="1:14" x14ac:dyDescent="0.25">
      <c r="A8" s="31" t="s">
        <v>14</v>
      </c>
      <c r="B8" s="31"/>
      <c r="C8" s="37">
        <v>30</v>
      </c>
      <c r="D8" s="37"/>
      <c r="F8" s="22">
        <v>50000</v>
      </c>
      <c r="G8" s="22"/>
      <c r="H8" s="22"/>
      <c r="I8" s="22">
        <v>99000</v>
      </c>
      <c r="J8" s="22"/>
      <c r="K8" s="22"/>
      <c r="L8" s="36">
        <v>0.2</v>
      </c>
      <c r="M8" s="36"/>
      <c r="N8" s="36"/>
    </row>
    <row r="9" spans="1:14" x14ac:dyDescent="0.25">
      <c r="A9" s="19" t="s">
        <v>48</v>
      </c>
      <c r="B9" s="19"/>
      <c r="C9" s="20">
        <f>C7/C8</f>
        <v>16666.666666666668</v>
      </c>
      <c r="D9" s="20"/>
      <c r="F9" s="20">
        <v>100000</v>
      </c>
      <c r="G9" s="20"/>
      <c r="H9" s="20"/>
      <c r="I9" s="20">
        <v>499000</v>
      </c>
      <c r="J9" s="20"/>
      <c r="K9" s="20"/>
      <c r="L9" s="35">
        <v>0.25</v>
      </c>
      <c r="M9" s="35"/>
      <c r="N9" s="35"/>
    </row>
    <row r="10" spans="1:14" x14ac:dyDescent="0.25">
      <c r="A10" s="31" t="s">
        <v>13</v>
      </c>
      <c r="B10" s="31"/>
      <c r="C10" s="22">
        <v>1000000</v>
      </c>
      <c r="D10" s="22"/>
      <c r="F10" s="22">
        <v>500000</v>
      </c>
      <c r="G10" s="22"/>
      <c r="H10" s="22"/>
      <c r="I10" s="22">
        <v>999999</v>
      </c>
      <c r="J10" s="22"/>
      <c r="K10" s="22"/>
      <c r="L10" s="36">
        <v>0.3</v>
      </c>
      <c r="M10" s="36"/>
      <c r="N10" s="36"/>
    </row>
    <row r="11" spans="1:14" x14ac:dyDescent="0.25">
      <c r="A11" s="33" t="s">
        <v>15</v>
      </c>
      <c r="B11" s="33"/>
      <c r="C11" s="38">
        <v>5</v>
      </c>
      <c r="D11" s="38"/>
      <c r="F11" s="20">
        <v>1000000</v>
      </c>
      <c r="G11" s="20"/>
      <c r="H11" s="20"/>
      <c r="I11" s="20"/>
      <c r="J11" s="20"/>
      <c r="K11" s="20"/>
      <c r="L11" s="35">
        <v>0.35</v>
      </c>
      <c r="M11" s="35"/>
      <c r="N11" s="35"/>
    </row>
    <row r="12" spans="1:14" x14ac:dyDescent="0.25">
      <c r="A12" s="21" t="s">
        <v>50</v>
      </c>
      <c r="B12" s="21"/>
      <c r="C12" s="22">
        <v>100000</v>
      </c>
      <c r="D12" s="22"/>
    </row>
    <row r="13" spans="1:14" x14ac:dyDescent="0.25">
      <c r="A13" s="19" t="s">
        <v>48</v>
      </c>
      <c r="B13" s="19"/>
      <c r="C13" s="28">
        <f>(C10-C12)/C11</f>
        <v>180000</v>
      </c>
      <c r="D13" s="19"/>
    </row>
    <row r="14" spans="1:14" x14ac:dyDescent="0.25">
      <c r="A14" s="31" t="s">
        <v>49</v>
      </c>
      <c r="B14" s="31"/>
      <c r="C14" s="22">
        <v>400</v>
      </c>
      <c r="D14" s="22"/>
    </row>
    <row r="15" spans="1:14" x14ac:dyDescent="0.25">
      <c r="A15" s="33" t="s">
        <v>46</v>
      </c>
      <c r="B15" s="33"/>
      <c r="C15" s="39">
        <v>0.05</v>
      </c>
      <c r="D15" s="39"/>
    </row>
    <row r="16" spans="1:14" x14ac:dyDescent="0.25">
      <c r="A16" s="21" t="s">
        <v>111</v>
      </c>
      <c r="B16" s="21"/>
      <c r="C16" s="22">
        <f>1800000</f>
        <v>1800000</v>
      </c>
      <c r="D16" s="22"/>
    </row>
    <row r="17" spans="1:14" x14ac:dyDescent="0.25">
      <c r="A17" s="19" t="s">
        <v>115</v>
      </c>
      <c r="B17" s="19"/>
      <c r="C17" s="20">
        <v>200000</v>
      </c>
      <c r="D17" s="20"/>
    </row>
    <row r="19" spans="1:14" ht="15.75" x14ac:dyDescent="0.3">
      <c r="A19" s="32" t="s">
        <v>20</v>
      </c>
      <c r="B19" s="32"/>
      <c r="C19" s="32"/>
      <c r="D19" s="32"/>
      <c r="E19" s="32"/>
      <c r="F19" s="32"/>
      <c r="G19" s="32"/>
      <c r="H19" s="32"/>
      <c r="I19" s="32"/>
      <c r="J19" s="32"/>
      <c r="K19" s="32"/>
      <c r="L19" s="32"/>
      <c r="M19" s="32"/>
      <c r="N19" s="32"/>
    </row>
    <row r="20" spans="1:14" ht="15.75" x14ac:dyDescent="0.3">
      <c r="A20" s="29" t="s">
        <v>21</v>
      </c>
      <c r="B20" s="29"/>
      <c r="C20" s="29"/>
      <c r="D20" s="29"/>
      <c r="E20" s="29" t="s">
        <v>22</v>
      </c>
      <c r="F20" s="29"/>
      <c r="G20" s="29" t="s">
        <v>23</v>
      </c>
      <c r="H20" s="29"/>
      <c r="I20" s="29" t="s">
        <v>24</v>
      </c>
      <c r="J20" s="29"/>
      <c r="K20" s="29" t="s">
        <v>25</v>
      </c>
      <c r="L20" s="29"/>
      <c r="M20" s="29" t="s">
        <v>26</v>
      </c>
      <c r="N20" s="29"/>
    </row>
    <row r="21" spans="1:14" x14ac:dyDescent="0.25">
      <c r="A21" s="31" t="s">
        <v>27</v>
      </c>
      <c r="B21" s="31"/>
      <c r="C21" s="31"/>
      <c r="D21" s="31"/>
      <c r="E21" s="22">
        <f>120</f>
        <v>120</v>
      </c>
      <c r="F21" s="22"/>
      <c r="G21" s="22">
        <f>E21+(E43*E21)</f>
        <v>129.6</v>
      </c>
      <c r="H21" s="22"/>
      <c r="I21" s="22">
        <f>G21*(1+E43)</f>
        <v>139.96799999999999</v>
      </c>
      <c r="J21" s="22"/>
      <c r="K21" s="22">
        <f>I21*(1+E43)</f>
        <v>151.16543999999999</v>
      </c>
      <c r="L21" s="22"/>
      <c r="M21" s="22">
        <f>K21*(1+E43)</f>
        <v>163.2586752</v>
      </c>
      <c r="N21" s="22"/>
    </row>
    <row r="22" spans="1:14" x14ac:dyDescent="0.25">
      <c r="A22" s="33" t="s">
        <v>28</v>
      </c>
      <c r="B22" s="33"/>
      <c r="C22" s="33"/>
      <c r="D22" s="33"/>
      <c r="E22" s="20">
        <v>80</v>
      </c>
      <c r="F22" s="20"/>
      <c r="G22" s="20">
        <f t="shared" ref="G22:G27" si="0">E22*(1+E44)</f>
        <v>86.4</v>
      </c>
      <c r="H22" s="20"/>
      <c r="I22" s="20">
        <f t="shared" ref="I22:I27" si="1">G22*(1+E44)</f>
        <v>93.312000000000012</v>
      </c>
      <c r="J22" s="20"/>
      <c r="K22" s="20">
        <f t="shared" ref="K22:K27" si="2">I22*(1+E44)</f>
        <v>100.77696000000002</v>
      </c>
      <c r="L22" s="20"/>
      <c r="M22" s="20">
        <f t="shared" ref="M22:M27" si="3">K22*(1+E44)</f>
        <v>108.83911680000003</v>
      </c>
      <c r="N22" s="20"/>
    </row>
    <row r="23" spans="1:14" x14ac:dyDescent="0.25">
      <c r="A23" s="31" t="s">
        <v>29</v>
      </c>
      <c r="B23" s="31"/>
      <c r="C23" s="31"/>
      <c r="D23" s="31"/>
      <c r="E23" s="22">
        <v>50</v>
      </c>
      <c r="F23" s="22"/>
      <c r="G23" s="22">
        <f t="shared" si="0"/>
        <v>54</v>
      </c>
      <c r="H23" s="22"/>
      <c r="I23" s="22">
        <f t="shared" si="1"/>
        <v>58.320000000000007</v>
      </c>
      <c r="J23" s="22"/>
      <c r="K23" s="22">
        <f t="shared" si="2"/>
        <v>62.985600000000012</v>
      </c>
      <c r="L23" s="22"/>
      <c r="M23" s="22">
        <f t="shared" si="3"/>
        <v>68.024448000000021</v>
      </c>
      <c r="N23" s="22"/>
    </row>
    <row r="24" spans="1:14" x14ac:dyDescent="0.25">
      <c r="A24" s="33" t="s">
        <v>30</v>
      </c>
      <c r="B24" s="33"/>
      <c r="C24" s="33"/>
      <c r="D24" s="33"/>
      <c r="E24" s="20">
        <v>50</v>
      </c>
      <c r="F24" s="20"/>
      <c r="G24" s="20">
        <f t="shared" si="0"/>
        <v>54</v>
      </c>
      <c r="H24" s="20"/>
      <c r="I24" s="20">
        <f t="shared" si="1"/>
        <v>58.320000000000007</v>
      </c>
      <c r="J24" s="20"/>
      <c r="K24" s="20">
        <f t="shared" si="2"/>
        <v>62.985600000000012</v>
      </c>
      <c r="L24" s="20"/>
      <c r="M24" s="20">
        <f t="shared" si="3"/>
        <v>68.024448000000021</v>
      </c>
      <c r="N24" s="20"/>
    </row>
    <row r="25" spans="1:14" x14ac:dyDescent="0.25">
      <c r="A25" s="31" t="s">
        <v>31</v>
      </c>
      <c r="B25" s="31"/>
      <c r="C25" s="31"/>
      <c r="D25" s="31"/>
      <c r="E25" s="22">
        <v>150000</v>
      </c>
      <c r="F25" s="22"/>
      <c r="G25" s="22">
        <f t="shared" si="0"/>
        <v>162000</v>
      </c>
      <c r="H25" s="22"/>
      <c r="I25" s="22">
        <f t="shared" si="1"/>
        <v>174960</v>
      </c>
      <c r="J25" s="22"/>
      <c r="K25" s="22">
        <f t="shared" si="2"/>
        <v>188956.80000000002</v>
      </c>
      <c r="L25" s="22"/>
      <c r="M25" s="22">
        <f t="shared" si="3"/>
        <v>204073.34400000004</v>
      </c>
      <c r="N25" s="22"/>
    </row>
    <row r="26" spans="1:14" x14ac:dyDescent="0.25">
      <c r="A26" s="33" t="s">
        <v>32</v>
      </c>
      <c r="B26" s="33"/>
      <c r="C26" s="33"/>
      <c r="D26" s="33"/>
      <c r="E26" s="20">
        <v>100</v>
      </c>
      <c r="F26" s="20"/>
      <c r="G26" s="20">
        <f t="shared" si="0"/>
        <v>105</v>
      </c>
      <c r="H26" s="20"/>
      <c r="I26" s="20">
        <f t="shared" si="1"/>
        <v>110.25</v>
      </c>
      <c r="J26" s="20"/>
      <c r="K26" s="20">
        <f t="shared" si="2"/>
        <v>115.7625</v>
      </c>
      <c r="L26" s="20"/>
      <c r="M26" s="20">
        <f t="shared" si="3"/>
        <v>121.55062500000001</v>
      </c>
      <c r="N26" s="20"/>
    </row>
    <row r="27" spans="1:14" x14ac:dyDescent="0.25">
      <c r="A27" s="31" t="s">
        <v>33</v>
      </c>
      <c r="B27" s="31"/>
      <c r="C27" s="31"/>
      <c r="D27" s="31"/>
      <c r="E27" s="22">
        <v>200</v>
      </c>
      <c r="F27" s="22"/>
      <c r="G27" s="22">
        <f t="shared" si="0"/>
        <v>210</v>
      </c>
      <c r="H27" s="22"/>
      <c r="I27" s="22">
        <f t="shared" si="1"/>
        <v>220.5</v>
      </c>
      <c r="J27" s="22"/>
      <c r="K27" s="22">
        <f t="shared" si="2"/>
        <v>231.52500000000001</v>
      </c>
      <c r="L27" s="22"/>
      <c r="M27" s="22">
        <f t="shared" si="3"/>
        <v>243.10125000000002</v>
      </c>
      <c r="N27" s="22"/>
    </row>
    <row r="28" spans="1:14" x14ac:dyDescent="0.25">
      <c r="A28" s="33" t="s">
        <v>34</v>
      </c>
      <c r="B28" s="33"/>
      <c r="C28" s="33"/>
      <c r="D28" s="33"/>
      <c r="E28" s="20">
        <v>100000</v>
      </c>
      <c r="F28" s="20"/>
      <c r="G28" s="20">
        <f>E28</f>
        <v>100000</v>
      </c>
      <c r="H28" s="20"/>
      <c r="I28" s="20">
        <f>G28</f>
        <v>100000</v>
      </c>
      <c r="J28" s="20"/>
      <c r="K28" s="20">
        <f>I28</f>
        <v>100000</v>
      </c>
      <c r="L28" s="20"/>
      <c r="M28" s="20">
        <f>K28</f>
        <v>100000</v>
      </c>
      <c r="N28" s="20"/>
    </row>
    <row r="29" spans="1:14" x14ac:dyDescent="0.25">
      <c r="A29" s="31" t="s">
        <v>35</v>
      </c>
      <c r="B29" s="31"/>
      <c r="C29" s="31"/>
      <c r="D29" s="31"/>
      <c r="E29" s="22">
        <v>200000</v>
      </c>
      <c r="F29" s="22"/>
      <c r="G29" s="22">
        <f>E29</f>
        <v>200000</v>
      </c>
      <c r="H29" s="22"/>
      <c r="I29" s="22">
        <f>G29</f>
        <v>200000</v>
      </c>
      <c r="J29" s="22"/>
      <c r="K29" s="22">
        <f>I29</f>
        <v>200000</v>
      </c>
      <c r="L29" s="22"/>
      <c r="M29" s="22">
        <f>K29</f>
        <v>200000</v>
      </c>
      <c r="N29" s="22"/>
    </row>
    <row r="31" spans="1:14" ht="15.75" x14ac:dyDescent="0.3">
      <c r="A31" s="29" t="s">
        <v>21</v>
      </c>
      <c r="B31" s="29"/>
      <c r="C31" s="29"/>
      <c r="D31" s="29"/>
      <c r="E31" s="29" t="s">
        <v>36</v>
      </c>
      <c r="F31" s="29"/>
      <c r="G31" s="29" t="s">
        <v>37</v>
      </c>
      <c r="H31" s="29"/>
      <c r="I31" s="29" t="s">
        <v>38</v>
      </c>
      <c r="J31" s="29"/>
      <c r="K31" s="29" t="s">
        <v>39</v>
      </c>
      <c r="L31" s="29"/>
      <c r="M31" s="29" t="s">
        <v>40</v>
      </c>
      <c r="N31" s="29"/>
    </row>
    <row r="32" spans="1:14" x14ac:dyDescent="0.25">
      <c r="A32" s="31" t="s">
        <v>27</v>
      </c>
      <c r="B32" s="31"/>
      <c r="C32" s="31"/>
      <c r="D32" s="31"/>
      <c r="E32" s="22">
        <f>M21*(1+E43)</f>
        <v>176.31936921600001</v>
      </c>
      <c r="F32" s="22"/>
      <c r="G32" s="22">
        <f>E32*(1+E43)</f>
        <v>190.42491875328002</v>
      </c>
      <c r="H32" s="22"/>
      <c r="I32" s="22">
        <f>G32*(1+E43)</f>
        <v>205.65891225354244</v>
      </c>
      <c r="J32" s="22"/>
      <c r="K32" s="22">
        <f>I32*(1+E43)</f>
        <v>222.11162523382586</v>
      </c>
      <c r="L32" s="22"/>
      <c r="M32" s="22">
        <f>K32*(1+E43)</f>
        <v>239.88055525253193</v>
      </c>
      <c r="N32" s="22"/>
    </row>
    <row r="33" spans="1:14" x14ac:dyDescent="0.25">
      <c r="A33" s="33" t="s">
        <v>28</v>
      </c>
      <c r="B33" s="33"/>
      <c r="C33" s="33"/>
      <c r="D33" s="33"/>
      <c r="E33" s="20">
        <f t="shared" ref="E33:E38" si="4">M22*(1+E44)</f>
        <v>117.54624614400004</v>
      </c>
      <c r="F33" s="20"/>
      <c r="G33" s="20">
        <f t="shared" ref="G33:G38" si="5">E33*(1+E44)</f>
        <v>126.94994583552005</v>
      </c>
      <c r="H33" s="20"/>
      <c r="I33" s="20">
        <f t="shared" ref="I33:I38" si="6">G33*(1+E44)</f>
        <v>137.10594150236167</v>
      </c>
      <c r="J33" s="20"/>
      <c r="K33" s="20">
        <f t="shared" ref="K33:K38" si="7">I33*(1+E44)</f>
        <v>148.07441682255063</v>
      </c>
      <c r="L33" s="20"/>
      <c r="M33" s="20">
        <f t="shared" ref="M33:M38" si="8">K33*(1+E44)</f>
        <v>159.92037016835468</v>
      </c>
      <c r="N33" s="20"/>
    </row>
    <row r="34" spans="1:14" x14ac:dyDescent="0.25">
      <c r="A34" s="31" t="s">
        <v>29</v>
      </c>
      <c r="B34" s="31"/>
      <c r="C34" s="31"/>
      <c r="D34" s="31"/>
      <c r="E34" s="22">
        <f t="shared" si="4"/>
        <v>73.466403840000027</v>
      </c>
      <c r="F34" s="22"/>
      <c r="G34" s="22">
        <f t="shared" si="5"/>
        <v>79.343716147200027</v>
      </c>
      <c r="H34" s="22"/>
      <c r="I34" s="22">
        <f t="shared" si="6"/>
        <v>85.691213438976035</v>
      </c>
      <c r="J34" s="22"/>
      <c r="K34" s="22">
        <f t="shared" si="7"/>
        <v>92.546510514094123</v>
      </c>
      <c r="L34" s="22"/>
      <c r="M34" s="22">
        <f t="shared" si="8"/>
        <v>99.950231355221661</v>
      </c>
      <c r="N34" s="22"/>
    </row>
    <row r="35" spans="1:14" x14ac:dyDescent="0.25">
      <c r="A35" s="33" t="s">
        <v>30</v>
      </c>
      <c r="B35" s="33"/>
      <c r="C35" s="33"/>
      <c r="D35" s="33"/>
      <c r="E35" s="20">
        <f t="shared" si="4"/>
        <v>73.466403840000027</v>
      </c>
      <c r="F35" s="20"/>
      <c r="G35" s="20">
        <f t="shared" si="5"/>
        <v>79.343716147200027</v>
      </c>
      <c r="H35" s="20"/>
      <c r="I35" s="20">
        <f t="shared" si="6"/>
        <v>85.691213438976035</v>
      </c>
      <c r="J35" s="20"/>
      <c r="K35" s="20">
        <f t="shared" si="7"/>
        <v>92.546510514094123</v>
      </c>
      <c r="L35" s="20"/>
      <c r="M35" s="20">
        <f t="shared" si="8"/>
        <v>99.950231355221661</v>
      </c>
      <c r="N35" s="20"/>
    </row>
    <row r="36" spans="1:14" x14ac:dyDescent="0.25">
      <c r="A36" s="31" t="s">
        <v>31</v>
      </c>
      <c r="B36" s="31"/>
      <c r="C36" s="31"/>
      <c r="D36" s="31"/>
      <c r="E36" s="22">
        <f t="shared" si="4"/>
        <v>220399.21152000007</v>
      </c>
      <c r="F36" s="22"/>
      <c r="G36" s="22">
        <f t="shared" si="5"/>
        <v>238031.14844160009</v>
      </c>
      <c r="H36" s="22"/>
      <c r="I36" s="22">
        <f t="shared" si="6"/>
        <v>257073.64031692813</v>
      </c>
      <c r="J36" s="22"/>
      <c r="K36" s="22">
        <f t="shared" si="7"/>
        <v>277639.53154228238</v>
      </c>
      <c r="L36" s="22"/>
      <c r="M36" s="22">
        <f t="shared" si="8"/>
        <v>299850.69406566501</v>
      </c>
      <c r="N36" s="22"/>
    </row>
    <row r="37" spans="1:14" x14ac:dyDescent="0.25">
      <c r="A37" s="33" t="s">
        <v>32</v>
      </c>
      <c r="B37" s="33"/>
      <c r="C37" s="33"/>
      <c r="D37" s="33"/>
      <c r="E37" s="20">
        <f t="shared" si="4"/>
        <v>127.62815625000002</v>
      </c>
      <c r="F37" s="20"/>
      <c r="G37" s="20">
        <f t="shared" si="5"/>
        <v>134.00956406250003</v>
      </c>
      <c r="H37" s="20"/>
      <c r="I37" s="20">
        <f t="shared" si="6"/>
        <v>140.71004226562505</v>
      </c>
      <c r="J37" s="20"/>
      <c r="K37" s="20">
        <f t="shared" si="7"/>
        <v>147.74554437890632</v>
      </c>
      <c r="L37" s="20"/>
      <c r="M37" s="20">
        <f t="shared" si="8"/>
        <v>155.13282159785163</v>
      </c>
      <c r="N37" s="20"/>
    </row>
    <row r="38" spans="1:14" x14ac:dyDescent="0.25">
      <c r="A38" s="31" t="s">
        <v>33</v>
      </c>
      <c r="B38" s="31"/>
      <c r="C38" s="31"/>
      <c r="D38" s="31"/>
      <c r="E38" s="22">
        <f t="shared" si="4"/>
        <v>255.25631250000004</v>
      </c>
      <c r="F38" s="22"/>
      <c r="G38" s="22">
        <f t="shared" si="5"/>
        <v>268.01912812500007</v>
      </c>
      <c r="H38" s="22"/>
      <c r="I38" s="22">
        <f t="shared" si="6"/>
        <v>281.4200845312501</v>
      </c>
      <c r="J38" s="22"/>
      <c r="K38" s="22">
        <f t="shared" si="7"/>
        <v>295.49108875781263</v>
      </c>
      <c r="L38" s="22"/>
      <c r="M38" s="22">
        <f t="shared" si="8"/>
        <v>310.26564319570326</v>
      </c>
      <c r="N38" s="22"/>
    </row>
    <row r="39" spans="1:14" x14ac:dyDescent="0.25">
      <c r="A39" s="33" t="s">
        <v>34</v>
      </c>
      <c r="B39" s="33"/>
      <c r="C39" s="33"/>
      <c r="D39" s="33"/>
      <c r="E39" s="20">
        <f>E28</f>
        <v>100000</v>
      </c>
      <c r="F39" s="20"/>
      <c r="G39" s="20">
        <f>G28</f>
        <v>100000</v>
      </c>
      <c r="H39" s="20"/>
      <c r="I39" s="20">
        <f>I28</f>
        <v>100000</v>
      </c>
      <c r="J39" s="20"/>
      <c r="K39" s="20">
        <f>K28</f>
        <v>100000</v>
      </c>
      <c r="L39" s="20"/>
      <c r="M39" s="20">
        <f>M28</f>
        <v>100000</v>
      </c>
      <c r="N39" s="20"/>
    </row>
    <row r="40" spans="1:14" x14ac:dyDescent="0.25">
      <c r="A40" s="31" t="s">
        <v>35</v>
      </c>
      <c r="B40" s="31"/>
      <c r="C40" s="31"/>
      <c r="D40" s="31"/>
      <c r="E40" s="22">
        <f>E29</f>
        <v>200000</v>
      </c>
      <c r="F40" s="22"/>
      <c r="G40" s="22">
        <f>G29</f>
        <v>200000</v>
      </c>
      <c r="H40" s="22"/>
      <c r="I40" s="22">
        <f>I29</f>
        <v>200000</v>
      </c>
      <c r="J40" s="22"/>
      <c r="K40" s="22">
        <f>K29</f>
        <v>200000</v>
      </c>
      <c r="L40" s="22"/>
      <c r="M40" s="22">
        <f>M29</f>
        <v>200000</v>
      </c>
      <c r="N40" s="22"/>
    </row>
    <row r="42" spans="1:14" ht="15.75" x14ac:dyDescent="0.3">
      <c r="A42" s="32" t="s">
        <v>41</v>
      </c>
      <c r="B42" s="32"/>
      <c r="C42" s="32"/>
      <c r="D42" s="32"/>
      <c r="E42" s="32"/>
    </row>
    <row r="43" spans="1:14" x14ac:dyDescent="0.25">
      <c r="A43" s="31" t="s">
        <v>27</v>
      </c>
      <c r="B43" s="31"/>
      <c r="C43" s="31"/>
      <c r="D43" s="31"/>
      <c r="E43" s="4">
        <v>0.08</v>
      </c>
    </row>
    <row r="44" spans="1:14" x14ac:dyDescent="0.25">
      <c r="A44" s="33" t="s">
        <v>28</v>
      </c>
      <c r="B44" s="33"/>
      <c r="C44" s="33"/>
      <c r="D44" s="33"/>
      <c r="E44" s="5">
        <v>0.08</v>
      </c>
    </row>
    <row r="45" spans="1:14" x14ac:dyDescent="0.25">
      <c r="A45" s="31" t="s">
        <v>29</v>
      </c>
      <c r="B45" s="31"/>
      <c r="C45" s="31"/>
      <c r="D45" s="31"/>
      <c r="E45" s="4">
        <v>0.08</v>
      </c>
    </row>
    <row r="46" spans="1:14" x14ac:dyDescent="0.25">
      <c r="A46" s="33" t="s">
        <v>30</v>
      </c>
      <c r="B46" s="33"/>
      <c r="C46" s="33"/>
      <c r="D46" s="33"/>
      <c r="E46" s="5">
        <v>0.08</v>
      </c>
    </row>
    <row r="47" spans="1:14" x14ac:dyDescent="0.25">
      <c r="A47" s="31" t="s">
        <v>31</v>
      </c>
      <c r="B47" s="31"/>
      <c r="C47" s="31"/>
      <c r="D47" s="31"/>
      <c r="E47" s="4">
        <v>0.08</v>
      </c>
    </row>
    <row r="48" spans="1:14" x14ac:dyDescent="0.25">
      <c r="A48" s="33" t="s">
        <v>32</v>
      </c>
      <c r="B48" s="33"/>
      <c r="C48" s="33"/>
      <c r="D48" s="33"/>
      <c r="E48" s="5">
        <v>0.05</v>
      </c>
    </row>
    <row r="49" spans="1:10" x14ac:dyDescent="0.25">
      <c r="A49" s="31" t="s">
        <v>33</v>
      </c>
      <c r="B49" s="31"/>
      <c r="C49" s="31"/>
      <c r="D49" s="31"/>
      <c r="E49" s="4">
        <v>0.05</v>
      </c>
    </row>
    <row r="51" spans="1:10" ht="15.75" x14ac:dyDescent="0.3">
      <c r="A51" s="29" t="s">
        <v>42</v>
      </c>
      <c r="B51" s="29"/>
      <c r="C51" s="29"/>
      <c r="D51" s="29"/>
      <c r="E51" s="29"/>
      <c r="F51" s="29"/>
      <c r="G51" s="29"/>
      <c r="H51" s="29"/>
      <c r="I51" s="29"/>
      <c r="J51" s="29"/>
    </row>
    <row r="52" spans="1:10" ht="15.75" x14ac:dyDescent="0.3">
      <c r="A52" s="43" t="s">
        <v>43</v>
      </c>
      <c r="B52" s="43"/>
      <c r="C52" s="43" t="s">
        <v>9</v>
      </c>
      <c r="D52" s="43"/>
      <c r="E52" s="43" t="s">
        <v>10</v>
      </c>
      <c r="F52" s="43"/>
      <c r="G52" s="43" t="s">
        <v>44</v>
      </c>
      <c r="H52" s="43"/>
      <c r="I52" s="43" t="s">
        <v>45</v>
      </c>
      <c r="J52" s="43"/>
    </row>
    <row r="53" spans="1:10" x14ac:dyDescent="0.25">
      <c r="A53" s="19">
        <v>1</v>
      </c>
      <c r="B53" s="19"/>
      <c r="C53" s="30">
        <f>C4</f>
        <v>20000</v>
      </c>
      <c r="D53" s="30"/>
      <c r="E53" s="20">
        <f>C5</f>
        <v>800</v>
      </c>
      <c r="F53" s="20"/>
      <c r="G53" s="20">
        <f>SUM(E21:F24)</f>
        <v>300</v>
      </c>
      <c r="H53" s="20"/>
      <c r="I53" s="28">
        <f>SUM(E25:F27)</f>
        <v>150300</v>
      </c>
      <c r="J53" s="19"/>
    </row>
    <row r="54" spans="1:10" x14ac:dyDescent="0.25">
      <c r="A54" s="21">
        <v>2</v>
      </c>
      <c r="B54" s="21"/>
      <c r="C54" s="24">
        <f>C4*(1+C15)</f>
        <v>21000</v>
      </c>
      <c r="D54" s="24"/>
      <c r="E54" s="22">
        <f>E53*(1+C15)</f>
        <v>840</v>
      </c>
      <c r="F54" s="22"/>
      <c r="G54" s="22">
        <f>SUM(G21:H24)</f>
        <v>324</v>
      </c>
      <c r="H54" s="22"/>
      <c r="I54" s="27">
        <f>SUM(G25:H27)</f>
        <v>162315</v>
      </c>
      <c r="J54" s="21"/>
    </row>
    <row r="55" spans="1:10" x14ac:dyDescent="0.25">
      <c r="A55" s="19">
        <v>3</v>
      </c>
      <c r="B55" s="19"/>
      <c r="C55" s="30">
        <f>C54*(1+C15)</f>
        <v>22050</v>
      </c>
      <c r="D55" s="30"/>
      <c r="E55" s="20">
        <f>E54*(1+C15)</f>
        <v>882</v>
      </c>
      <c r="F55" s="20"/>
      <c r="G55" s="20">
        <f>SUM(I21:J24)</f>
        <v>349.92</v>
      </c>
      <c r="H55" s="20"/>
      <c r="I55" s="28">
        <f>SUM(I25:J27)</f>
        <v>175290.75</v>
      </c>
      <c r="J55" s="19"/>
    </row>
    <row r="56" spans="1:10" x14ac:dyDescent="0.25">
      <c r="A56" s="21">
        <v>4</v>
      </c>
      <c r="B56" s="21"/>
      <c r="C56" s="24">
        <f>C55*(1+C15)</f>
        <v>23152.5</v>
      </c>
      <c r="D56" s="24"/>
      <c r="E56" s="22">
        <f>E55*(1+C15)</f>
        <v>926.1</v>
      </c>
      <c r="F56" s="22"/>
      <c r="G56" s="22">
        <f>SUM(K21:L24)</f>
        <v>377.91360000000009</v>
      </c>
      <c r="H56" s="22"/>
      <c r="I56" s="27">
        <f>SUM(K25:L27)</f>
        <v>189304.08750000002</v>
      </c>
      <c r="J56" s="21"/>
    </row>
    <row r="57" spans="1:10" x14ac:dyDescent="0.25">
      <c r="A57" s="19">
        <v>5</v>
      </c>
      <c r="B57" s="19"/>
      <c r="C57" s="30">
        <f>C56*(1+C15)</f>
        <v>24310.125</v>
      </c>
      <c r="D57" s="30"/>
      <c r="E57" s="20">
        <f>E56*(1+C15)</f>
        <v>972.40500000000009</v>
      </c>
      <c r="F57" s="20"/>
      <c r="G57" s="20">
        <f>SUM(M21:N24)</f>
        <v>408.14668800000004</v>
      </c>
      <c r="H57" s="20"/>
      <c r="I57" s="28">
        <f>SUM(M25:N27)</f>
        <v>204437.99587500005</v>
      </c>
      <c r="J57" s="19"/>
    </row>
    <row r="58" spans="1:10" x14ac:dyDescent="0.25">
      <c r="A58" s="21">
        <v>6</v>
      </c>
      <c r="B58" s="21"/>
      <c r="C58" s="24">
        <f>C57*(1+C15)</f>
        <v>25525.631250000002</v>
      </c>
      <c r="D58" s="24"/>
      <c r="E58" s="22">
        <f>E57*(1+C15)</f>
        <v>1021.0252500000001</v>
      </c>
      <c r="F58" s="22"/>
      <c r="G58" s="22">
        <f>SUM(E32:F35)</f>
        <v>440.7984230400001</v>
      </c>
      <c r="H58" s="22"/>
      <c r="I58" s="27">
        <f>SUM(E36:F38)</f>
        <v>220782.09598875005</v>
      </c>
      <c r="J58" s="21"/>
    </row>
    <row r="59" spans="1:10" x14ac:dyDescent="0.25">
      <c r="A59" s="19">
        <v>7</v>
      </c>
      <c r="B59" s="19"/>
      <c r="C59" s="30">
        <f>C58*(1+C15)</f>
        <v>26801.912812500002</v>
      </c>
      <c r="D59" s="30"/>
      <c r="E59" s="20">
        <f>E58*(1+C15)</f>
        <v>1072.0765125000003</v>
      </c>
      <c r="F59" s="20"/>
      <c r="G59" s="20">
        <f>SUM(G32:H35)</f>
        <v>476.06229688320013</v>
      </c>
      <c r="H59" s="20"/>
      <c r="I59" s="28">
        <f>SUM(G36:H38)</f>
        <v>238433.17713378757</v>
      </c>
      <c r="J59" s="19"/>
    </row>
    <row r="60" spans="1:10" x14ac:dyDescent="0.25">
      <c r="A60" s="21">
        <v>8</v>
      </c>
      <c r="B60" s="21"/>
      <c r="C60" s="24">
        <f>C59*(1+C15)</f>
        <v>28142.008453125003</v>
      </c>
      <c r="D60" s="24"/>
      <c r="E60" s="22">
        <f>E59*(1+C15)</f>
        <v>1125.6803381250004</v>
      </c>
      <c r="F60" s="22"/>
      <c r="G60" s="22">
        <f>SUM(I32:J35)</f>
        <v>514.14728063385621</v>
      </c>
      <c r="H60" s="22"/>
      <c r="I60" s="27">
        <f>SUM(I36:J38)</f>
        <v>257495.77044372499</v>
      </c>
      <c r="J60" s="21"/>
    </row>
    <row r="61" spans="1:10" x14ac:dyDescent="0.25">
      <c r="A61" s="19">
        <v>9</v>
      </c>
      <c r="B61" s="19"/>
      <c r="C61" s="30">
        <f>C60*(1+C15)</f>
        <v>29549.108875781254</v>
      </c>
      <c r="D61" s="30"/>
      <c r="E61" s="20">
        <f>E60*(1+C15)</f>
        <v>1181.9643550312505</v>
      </c>
      <c r="F61" s="20"/>
      <c r="G61" s="20">
        <f>SUM(K32:L35)</f>
        <v>555.27906308456477</v>
      </c>
      <c r="H61" s="20"/>
      <c r="I61" s="28">
        <f>SUM(K36:L38)</f>
        <v>278082.76817541907</v>
      </c>
      <c r="J61" s="19"/>
    </row>
    <row r="62" spans="1:10" x14ac:dyDescent="0.25">
      <c r="A62" s="21">
        <v>10</v>
      </c>
      <c r="B62" s="21"/>
      <c r="C62" s="24">
        <f>C61*(1+C15)</f>
        <v>31026.56431957032</v>
      </c>
      <c r="D62" s="24"/>
      <c r="E62" s="22">
        <f>E61*(1+C15)</f>
        <v>1241.062572782813</v>
      </c>
      <c r="F62" s="22"/>
      <c r="G62" s="22">
        <f>SUM(M32:N35)</f>
        <v>599.70138813132996</v>
      </c>
      <c r="H62" s="22"/>
      <c r="I62" s="27">
        <f>SUM(M36:N38)</f>
        <v>300316.09253045858</v>
      </c>
      <c r="J62" s="21"/>
    </row>
    <row r="63" spans="1:10" ht="15.75" x14ac:dyDescent="0.3">
      <c r="A63" s="25" t="s">
        <v>47</v>
      </c>
      <c r="B63" s="25"/>
      <c r="C63" s="26">
        <v>25000</v>
      </c>
      <c r="D63" s="26"/>
    </row>
    <row r="65" spans="1:14" ht="15.75" x14ac:dyDescent="0.3">
      <c r="A65" s="34" t="s">
        <v>51</v>
      </c>
      <c r="B65" s="34"/>
      <c r="C65" s="34"/>
      <c r="D65" s="34"/>
      <c r="E65" s="34"/>
      <c r="F65" s="34"/>
      <c r="G65" s="34"/>
      <c r="H65" s="34"/>
      <c r="I65" s="34"/>
      <c r="J65" s="34"/>
      <c r="K65" s="34"/>
      <c r="L65" s="34"/>
      <c r="M65" s="34"/>
      <c r="N65" s="34"/>
    </row>
    <row r="66" spans="1:14" ht="15.75" x14ac:dyDescent="0.3">
      <c r="A66" s="29" t="s">
        <v>43</v>
      </c>
      <c r="B66" s="29"/>
      <c r="C66" s="29">
        <v>2017</v>
      </c>
      <c r="D66" s="29"/>
      <c r="E66" s="29">
        <v>2018</v>
      </c>
      <c r="F66" s="29"/>
      <c r="G66" s="29">
        <v>2019</v>
      </c>
      <c r="H66" s="29"/>
      <c r="I66" s="29">
        <v>2020</v>
      </c>
      <c r="J66" s="29"/>
      <c r="K66" s="29">
        <v>2021</v>
      </c>
      <c r="L66" s="29"/>
      <c r="M66" s="29">
        <v>2022</v>
      </c>
      <c r="N66" s="29"/>
    </row>
    <row r="67" spans="1:14" x14ac:dyDescent="0.25">
      <c r="A67" s="21" t="s">
        <v>9</v>
      </c>
      <c r="B67" s="21"/>
      <c r="C67" s="24">
        <f>C4</f>
        <v>20000</v>
      </c>
      <c r="D67" s="24"/>
      <c r="E67" s="24">
        <f>C67*(1+C15)</f>
        <v>21000</v>
      </c>
      <c r="F67" s="24"/>
      <c r="G67" s="24">
        <f>E67*(1+C15)</f>
        <v>22050</v>
      </c>
      <c r="H67" s="24"/>
      <c r="I67" s="24">
        <f>G67*(1+C15)</f>
        <v>23152.5</v>
      </c>
      <c r="J67" s="24"/>
      <c r="K67" s="24">
        <f>I67*(1+C15)</f>
        <v>24310.125</v>
      </c>
      <c r="L67" s="24"/>
      <c r="M67" s="24">
        <f>K67*(1+C15)</f>
        <v>25525.631250000002</v>
      </c>
      <c r="N67" s="24"/>
    </row>
    <row r="68" spans="1:14" x14ac:dyDescent="0.25">
      <c r="A68" s="19" t="s">
        <v>10</v>
      </c>
      <c r="B68" s="19"/>
      <c r="C68" s="20">
        <f>C5</f>
        <v>800</v>
      </c>
      <c r="D68" s="20"/>
      <c r="E68" s="20">
        <f>C68*(1+C15)</f>
        <v>840</v>
      </c>
      <c r="F68" s="20"/>
      <c r="G68" s="20">
        <f>E68*(1+C15)</f>
        <v>882</v>
      </c>
      <c r="H68" s="20"/>
      <c r="I68" s="20">
        <f>G68*(1+C15)</f>
        <v>926.1</v>
      </c>
      <c r="J68" s="20"/>
      <c r="K68" s="20">
        <f>I68*(1+C15)</f>
        <v>972.40500000000009</v>
      </c>
      <c r="L68" s="20"/>
      <c r="M68" s="20">
        <f>K68*(1+C15)</f>
        <v>1021.0252500000001</v>
      </c>
      <c r="N68" s="20"/>
    </row>
    <row r="69" spans="1:14" x14ac:dyDescent="0.25">
      <c r="A69" s="21" t="s">
        <v>52</v>
      </c>
      <c r="B69" s="21"/>
      <c r="C69" s="22">
        <f>C68/1.16</f>
        <v>689.65517241379314</v>
      </c>
      <c r="D69" s="22"/>
      <c r="E69" s="22">
        <f>E68/1.16</f>
        <v>724.13793103448279</v>
      </c>
      <c r="F69" s="22"/>
      <c r="G69" s="22">
        <f>G68/1.16</f>
        <v>760.34482758620697</v>
      </c>
      <c r="H69" s="22"/>
      <c r="I69" s="22">
        <f>I68/1.16</f>
        <v>798.36206896551732</v>
      </c>
      <c r="J69" s="22"/>
      <c r="K69" s="22">
        <f>K68/1.16</f>
        <v>838.28017241379325</v>
      </c>
      <c r="L69" s="22"/>
      <c r="M69" s="22">
        <f>M68/1.16</f>
        <v>880.19418103448299</v>
      </c>
      <c r="N69" s="22"/>
    </row>
    <row r="70" spans="1:14" x14ac:dyDescent="0.25">
      <c r="A70" s="19" t="s">
        <v>53</v>
      </c>
      <c r="B70" s="19"/>
      <c r="C70" s="20">
        <f>IF(C67&gt;25000,(C67-25000)*C14,0)</f>
        <v>0</v>
      </c>
      <c r="D70" s="20"/>
      <c r="E70" s="20">
        <f>IF(E67&gt;25000,(E67-25000)*C14,0)</f>
        <v>0</v>
      </c>
      <c r="F70" s="20"/>
      <c r="G70" s="20">
        <f>IF(G67&gt;25000,(G67-25000)*C14,0)</f>
        <v>0</v>
      </c>
      <c r="H70" s="20"/>
      <c r="I70" s="20">
        <f>IF(I67&gt;25000,(I67-25000)*C14,0)</f>
        <v>0</v>
      </c>
      <c r="J70" s="20"/>
      <c r="K70" s="20">
        <f>IF(K67&gt;25000,(K67-25000)*C14,0)</f>
        <v>0</v>
      </c>
      <c r="L70" s="20"/>
      <c r="M70" s="20">
        <f>IF(M67&gt;25000,(M67-25000)*C14,0)</f>
        <v>210252.50000000087</v>
      </c>
      <c r="N70" s="20"/>
    </row>
    <row r="72" spans="1:14" ht="15.75" x14ac:dyDescent="0.3">
      <c r="A72" s="29" t="s">
        <v>43</v>
      </c>
      <c r="B72" s="29"/>
      <c r="C72" s="29">
        <v>2023</v>
      </c>
      <c r="D72" s="29"/>
      <c r="E72" s="29">
        <v>2024</v>
      </c>
      <c r="F72" s="29"/>
      <c r="G72" s="29">
        <v>2025</v>
      </c>
      <c r="H72" s="29"/>
      <c r="I72" s="29">
        <v>2026</v>
      </c>
      <c r="J72" s="29"/>
      <c r="K72" s="23"/>
      <c r="L72" s="23"/>
      <c r="M72" s="23"/>
      <c r="N72" s="23"/>
    </row>
    <row r="73" spans="1:14" x14ac:dyDescent="0.25">
      <c r="A73" s="21" t="s">
        <v>9</v>
      </c>
      <c r="B73" s="21"/>
      <c r="C73" s="24">
        <f>M67*(1+C15)</f>
        <v>26801.912812500002</v>
      </c>
      <c r="D73" s="24"/>
      <c r="E73" s="24">
        <f>C73*(1+C15)</f>
        <v>28142.008453125003</v>
      </c>
      <c r="F73" s="24"/>
      <c r="G73" s="24">
        <f>E73*(1+C15)</f>
        <v>29549.108875781254</v>
      </c>
      <c r="H73" s="24"/>
      <c r="I73" s="24">
        <f>G73*(1+C15)</f>
        <v>31026.56431957032</v>
      </c>
      <c r="J73" s="24"/>
      <c r="K73" s="23"/>
      <c r="L73" s="23"/>
      <c r="M73" s="23"/>
      <c r="N73" s="23"/>
    </row>
    <row r="74" spans="1:14" x14ac:dyDescent="0.25">
      <c r="A74" s="19" t="s">
        <v>10</v>
      </c>
      <c r="B74" s="19"/>
      <c r="C74" s="20">
        <f>M68*(1+C15)</f>
        <v>1072.0765125000003</v>
      </c>
      <c r="D74" s="20"/>
      <c r="E74" s="20">
        <f>C74*(1+C15)</f>
        <v>1125.6803381250004</v>
      </c>
      <c r="F74" s="20"/>
      <c r="G74" s="20">
        <f>E74*(1+C15)</f>
        <v>1181.9643550312505</v>
      </c>
      <c r="H74" s="20"/>
      <c r="I74" s="20">
        <f>G74*(1+C15)</f>
        <v>1241.062572782813</v>
      </c>
      <c r="J74" s="20"/>
      <c r="K74" s="18"/>
      <c r="L74" s="18"/>
      <c r="M74" s="18"/>
      <c r="N74" s="18"/>
    </row>
    <row r="75" spans="1:14" x14ac:dyDescent="0.25">
      <c r="A75" s="21" t="s">
        <v>52</v>
      </c>
      <c r="B75" s="21"/>
      <c r="C75" s="22">
        <f>C74/1.16</f>
        <v>924.20389008620714</v>
      </c>
      <c r="D75" s="22"/>
      <c r="E75" s="22">
        <f>E74/1.16</f>
        <v>970.41408459051763</v>
      </c>
      <c r="F75" s="22"/>
      <c r="G75" s="22">
        <f>G74/1.16</f>
        <v>1018.9347888200437</v>
      </c>
      <c r="H75" s="22"/>
      <c r="I75" s="22">
        <f>I74/1.16</f>
        <v>1069.8815282610458</v>
      </c>
      <c r="J75" s="22"/>
      <c r="K75" s="18"/>
      <c r="L75" s="18"/>
      <c r="M75" s="18"/>
      <c r="N75" s="18"/>
    </row>
    <row r="76" spans="1:14" x14ac:dyDescent="0.25">
      <c r="A76" s="19" t="s">
        <v>53</v>
      </c>
      <c r="B76" s="19"/>
      <c r="C76" s="20">
        <f>IF(C73&gt;25000,(C73-25000)*C14,0)</f>
        <v>720765.12500000093</v>
      </c>
      <c r="D76" s="20"/>
      <c r="E76" s="20">
        <f>IF(E73&gt;25000,(E73-25000)*C14,0)</f>
        <v>1256803.3812500013</v>
      </c>
      <c r="F76" s="20"/>
      <c r="G76" s="20">
        <f>IF(G73&gt;25000,(G73-25000)*C14,0)</f>
        <v>1819643.5503125016</v>
      </c>
      <c r="H76" s="20"/>
      <c r="I76" s="20">
        <f>IF(I73&gt;25000,(I73-25000)*C14,0)</f>
        <v>2410625.7278281278</v>
      </c>
      <c r="J76" s="20"/>
      <c r="K76" s="18"/>
      <c r="L76" s="18"/>
      <c r="M76" s="18"/>
      <c r="N76" s="18"/>
    </row>
    <row r="79" spans="1:14" x14ac:dyDescent="0.25">
      <c r="A79" s="1"/>
      <c r="B79" s="1"/>
      <c r="C79" s="1"/>
      <c r="D79" s="1"/>
      <c r="E79" s="1"/>
      <c r="F79" s="1"/>
      <c r="G79" s="1"/>
      <c r="H79" s="1"/>
      <c r="I79" s="1"/>
    </row>
    <row r="80" spans="1:14" x14ac:dyDescent="0.25">
      <c r="A80"/>
      <c r="B80"/>
      <c r="C80"/>
      <c r="D80"/>
      <c r="E80"/>
      <c r="F80"/>
      <c r="G80"/>
      <c r="H80"/>
      <c r="I80"/>
    </row>
    <row r="81" spans="1:9" x14ac:dyDescent="0.25">
      <c r="A81"/>
      <c r="B81"/>
      <c r="C81"/>
      <c r="D81"/>
      <c r="E81"/>
      <c r="F81"/>
      <c r="G81"/>
      <c r="H81"/>
      <c r="I81"/>
    </row>
    <row r="82" spans="1:9" x14ac:dyDescent="0.25">
      <c r="A82"/>
      <c r="B82"/>
      <c r="C82"/>
      <c r="D82"/>
      <c r="E82"/>
      <c r="F82"/>
      <c r="G82"/>
      <c r="H82"/>
      <c r="I82"/>
    </row>
    <row r="83" spans="1:9" x14ac:dyDescent="0.25">
      <c r="A83"/>
      <c r="B83"/>
      <c r="C83"/>
      <c r="D83"/>
      <c r="E83"/>
      <c r="F83"/>
      <c r="G83"/>
      <c r="H83"/>
      <c r="I83"/>
    </row>
    <row r="84" spans="1:9" x14ac:dyDescent="0.25">
      <c r="A84"/>
      <c r="B84"/>
      <c r="C84"/>
      <c r="D84"/>
      <c r="E84"/>
      <c r="F84"/>
      <c r="G84"/>
      <c r="H84"/>
      <c r="I84"/>
    </row>
    <row r="85" spans="1:9" x14ac:dyDescent="0.25">
      <c r="A85"/>
      <c r="B85"/>
      <c r="C85"/>
      <c r="D85"/>
      <c r="E85"/>
      <c r="F85"/>
      <c r="G85"/>
      <c r="H85"/>
      <c r="I85"/>
    </row>
    <row r="86" spans="1:9" x14ac:dyDescent="0.25">
      <c r="A86"/>
      <c r="B86"/>
      <c r="C86"/>
      <c r="D86"/>
      <c r="E86"/>
      <c r="F86"/>
      <c r="G86"/>
      <c r="H86"/>
      <c r="I86"/>
    </row>
    <row r="87" spans="1:9" x14ac:dyDescent="0.25">
      <c r="A87"/>
      <c r="B87"/>
      <c r="C87"/>
      <c r="D87"/>
      <c r="E87"/>
      <c r="F87"/>
      <c r="G87"/>
      <c r="H87"/>
      <c r="I87"/>
    </row>
    <row r="88" spans="1:9" x14ac:dyDescent="0.25">
      <c r="A88"/>
      <c r="B88"/>
      <c r="C88"/>
      <c r="D88"/>
      <c r="E88"/>
      <c r="F88"/>
      <c r="G88"/>
      <c r="H88"/>
      <c r="I88"/>
    </row>
    <row r="89" spans="1:9" x14ac:dyDescent="0.25">
      <c r="A89"/>
      <c r="B89"/>
      <c r="C89"/>
      <c r="D89"/>
      <c r="E89"/>
      <c r="F89"/>
      <c r="G89"/>
      <c r="H89"/>
      <c r="I89"/>
    </row>
  </sheetData>
  <mergeCells count="313">
    <mergeCell ref="A1:N1"/>
    <mergeCell ref="A3:D3"/>
    <mergeCell ref="A4:B4"/>
    <mergeCell ref="A5:B5"/>
    <mergeCell ref="A6:B6"/>
    <mergeCell ref="A7:B7"/>
    <mergeCell ref="F6:H6"/>
    <mergeCell ref="F7:H7"/>
    <mergeCell ref="A10:B10"/>
    <mergeCell ref="F3:N3"/>
    <mergeCell ref="F4:H4"/>
    <mergeCell ref="I4:K4"/>
    <mergeCell ref="L4:N4"/>
    <mergeCell ref="F5:H5"/>
    <mergeCell ref="A14:B14"/>
    <mergeCell ref="A8:B8"/>
    <mergeCell ref="A11:B11"/>
    <mergeCell ref="A15:B15"/>
    <mergeCell ref="C4:D4"/>
    <mergeCell ref="C5:D5"/>
    <mergeCell ref="C6:D6"/>
    <mergeCell ref="C7:D7"/>
    <mergeCell ref="C10:D10"/>
    <mergeCell ref="C14:D14"/>
    <mergeCell ref="C8:D8"/>
    <mergeCell ref="C11:D11"/>
    <mergeCell ref="C15:D15"/>
    <mergeCell ref="I11:K11"/>
    <mergeCell ref="L5:N5"/>
    <mergeCell ref="L6:N6"/>
    <mergeCell ref="L7:N7"/>
    <mergeCell ref="L8:N8"/>
    <mergeCell ref="L9:N9"/>
    <mergeCell ref="L10:N10"/>
    <mergeCell ref="L11:N11"/>
    <mergeCell ref="F8:H8"/>
    <mergeCell ref="F9:H9"/>
    <mergeCell ref="F10:H10"/>
    <mergeCell ref="F11:H11"/>
    <mergeCell ref="I5:K5"/>
    <mergeCell ref="I6:K6"/>
    <mergeCell ref="I7:K7"/>
    <mergeCell ref="I8:K8"/>
    <mergeCell ref="I9:K9"/>
    <mergeCell ref="I10:K10"/>
    <mergeCell ref="A19:N19"/>
    <mergeCell ref="A20:D20"/>
    <mergeCell ref="E20:F20"/>
    <mergeCell ref="G20:H20"/>
    <mergeCell ref="I20:J20"/>
    <mergeCell ref="K20:L20"/>
    <mergeCell ref="M20:N20"/>
    <mergeCell ref="A65:N65"/>
    <mergeCell ref="A66:B66"/>
    <mergeCell ref="A23:D23"/>
    <mergeCell ref="E23:F23"/>
    <mergeCell ref="G23:H23"/>
    <mergeCell ref="I23:J23"/>
    <mergeCell ref="K23:L23"/>
    <mergeCell ref="M23:N23"/>
    <mergeCell ref="I21:J21"/>
    <mergeCell ref="I22:J22"/>
    <mergeCell ref="K21:L21"/>
    <mergeCell ref="K22:L22"/>
    <mergeCell ref="M21:N21"/>
    <mergeCell ref="M22:N22"/>
    <mergeCell ref="A21:D21"/>
    <mergeCell ref="A22:D22"/>
    <mergeCell ref="E21:F21"/>
    <mergeCell ref="E22:F22"/>
    <mergeCell ref="G21:H21"/>
    <mergeCell ref="G22:H22"/>
    <mergeCell ref="A25:D25"/>
    <mergeCell ref="E25:F25"/>
    <mergeCell ref="G25:H25"/>
    <mergeCell ref="I25:J25"/>
    <mergeCell ref="K25:L25"/>
    <mergeCell ref="M25:N25"/>
    <mergeCell ref="A24:D24"/>
    <mergeCell ref="E24:F24"/>
    <mergeCell ref="G24:H24"/>
    <mergeCell ref="I24:J24"/>
    <mergeCell ref="K24:L24"/>
    <mergeCell ref="M24:N24"/>
    <mergeCell ref="A27:D27"/>
    <mergeCell ref="E27:F27"/>
    <mergeCell ref="G27:H27"/>
    <mergeCell ref="I27:J27"/>
    <mergeCell ref="K27:L27"/>
    <mergeCell ref="M27:N27"/>
    <mergeCell ref="A26:D26"/>
    <mergeCell ref="E26:F26"/>
    <mergeCell ref="G26:H26"/>
    <mergeCell ref="I26:J26"/>
    <mergeCell ref="K26:L26"/>
    <mergeCell ref="M26:N26"/>
    <mergeCell ref="A29:D29"/>
    <mergeCell ref="E29:F29"/>
    <mergeCell ref="G29:H29"/>
    <mergeCell ref="I29:J29"/>
    <mergeCell ref="K29:L29"/>
    <mergeCell ref="M29:N29"/>
    <mergeCell ref="A28:D28"/>
    <mergeCell ref="E28:F28"/>
    <mergeCell ref="G28:H28"/>
    <mergeCell ref="I28:J28"/>
    <mergeCell ref="K28:L28"/>
    <mergeCell ref="M28:N28"/>
    <mergeCell ref="A32:D32"/>
    <mergeCell ref="E32:F32"/>
    <mergeCell ref="G32:H32"/>
    <mergeCell ref="I32:J32"/>
    <mergeCell ref="K32:L32"/>
    <mergeCell ref="M32:N32"/>
    <mergeCell ref="A31:D31"/>
    <mergeCell ref="E31:F31"/>
    <mergeCell ref="G31:H31"/>
    <mergeCell ref="I31:J31"/>
    <mergeCell ref="K31:L31"/>
    <mergeCell ref="M31:N31"/>
    <mergeCell ref="A34:D34"/>
    <mergeCell ref="E34:F34"/>
    <mergeCell ref="G34:H34"/>
    <mergeCell ref="I34:J34"/>
    <mergeCell ref="K34:L34"/>
    <mergeCell ref="M34:N34"/>
    <mergeCell ref="A33:D33"/>
    <mergeCell ref="E33:F33"/>
    <mergeCell ref="G33:H33"/>
    <mergeCell ref="I33:J33"/>
    <mergeCell ref="K33:L33"/>
    <mergeCell ref="M33:N33"/>
    <mergeCell ref="A36:D36"/>
    <mergeCell ref="E36:F36"/>
    <mergeCell ref="G36:H36"/>
    <mergeCell ref="I36:J36"/>
    <mergeCell ref="K36:L36"/>
    <mergeCell ref="M36:N36"/>
    <mergeCell ref="A35:D35"/>
    <mergeCell ref="E35:F35"/>
    <mergeCell ref="G35:H35"/>
    <mergeCell ref="I35:J35"/>
    <mergeCell ref="K35:L35"/>
    <mergeCell ref="M35:N35"/>
    <mergeCell ref="A38:D38"/>
    <mergeCell ref="E38:F38"/>
    <mergeCell ref="G38:H38"/>
    <mergeCell ref="I38:J38"/>
    <mergeCell ref="K38:L38"/>
    <mergeCell ref="M38:N38"/>
    <mergeCell ref="A37:D37"/>
    <mergeCell ref="E37:F37"/>
    <mergeCell ref="G37:H37"/>
    <mergeCell ref="I37:J37"/>
    <mergeCell ref="K37:L37"/>
    <mergeCell ref="M37:N37"/>
    <mergeCell ref="A40:D40"/>
    <mergeCell ref="E40:F40"/>
    <mergeCell ref="G40:H40"/>
    <mergeCell ref="I40:J40"/>
    <mergeCell ref="K40:L40"/>
    <mergeCell ref="M40:N40"/>
    <mergeCell ref="A39:D39"/>
    <mergeCell ref="E39:F39"/>
    <mergeCell ref="G39:H39"/>
    <mergeCell ref="I39:J39"/>
    <mergeCell ref="K39:L39"/>
    <mergeCell ref="M39:N39"/>
    <mergeCell ref="C62:D62"/>
    <mergeCell ref="A49:D49"/>
    <mergeCell ref="A42:E42"/>
    <mergeCell ref="A52:B52"/>
    <mergeCell ref="A53:B53"/>
    <mergeCell ref="A54:B54"/>
    <mergeCell ref="A43:D43"/>
    <mergeCell ref="A44:D44"/>
    <mergeCell ref="A45:D45"/>
    <mergeCell ref="A46:D46"/>
    <mergeCell ref="A47:D47"/>
    <mergeCell ref="A48:D48"/>
    <mergeCell ref="E52:F52"/>
    <mergeCell ref="E53:F53"/>
    <mergeCell ref="E54:F54"/>
    <mergeCell ref="C52:D52"/>
    <mergeCell ref="C53:D53"/>
    <mergeCell ref="C54:D54"/>
    <mergeCell ref="C55:D55"/>
    <mergeCell ref="C56:D56"/>
    <mergeCell ref="C57:D57"/>
    <mergeCell ref="C58:D58"/>
    <mergeCell ref="C59:D59"/>
    <mergeCell ref="A55:B55"/>
    <mergeCell ref="A56:B56"/>
    <mergeCell ref="A57:B57"/>
    <mergeCell ref="A58:B58"/>
    <mergeCell ref="A59:B59"/>
    <mergeCell ref="G52:H52"/>
    <mergeCell ref="G53:H53"/>
    <mergeCell ref="G54:H54"/>
    <mergeCell ref="G55:H55"/>
    <mergeCell ref="G56:H56"/>
    <mergeCell ref="G57:H57"/>
    <mergeCell ref="A9:B9"/>
    <mergeCell ref="A12:B12"/>
    <mergeCell ref="C12:D12"/>
    <mergeCell ref="C9:D9"/>
    <mergeCell ref="A13:B13"/>
    <mergeCell ref="C13:D13"/>
    <mergeCell ref="A51:J51"/>
    <mergeCell ref="I52:J52"/>
    <mergeCell ref="I53:J53"/>
    <mergeCell ref="I54:J54"/>
    <mergeCell ref="A16:B16"/>
    <mergeCell ref="C16:D16"/>
    <mergeCell ref="A17:B17"/>
    <mergeCell ref="C17:D17"/>
    <mergeCell ref="E55:F55"/>
    <mergeCell ref="E56:F56"/>
    <mergeCell ref="E57:F57"/>
    <mergeCell ref="I55:J55"/>
    <mergeCell ref="A63:B63"/>
    <mergeCell ref="C63:D63"/>
    <mergeCell ref="I56:J56"/>
    <mergeCell ref="I57:J57"/>
    <mergeCell ref="I58:J58"/>
    <mergeCell ref="I59:J59"/>
    <mergeCell ref="I60:J60"/>
    <mergeCell ref="I61:J61"/>
    <mergeCell ref="G58:H58"/>
    <mergeCell ref="G59:H59"/>
    <mergeCell ref="G60:H60"/>
    <mergeCell ref="G61:H61"/>
    <mergeCell ref="G62:H62"/>
    <mergeCell ref="E58:F58"/>
    <mergeCell ref="E59:F59"/>
    <mergeCell ref="E60:F60"/>
    <mergeCell ref="E61:F61"/>
    <mergeCell ref="E62:F62"/>
    <mergeCell ref="I62:J62"/>
    <mergeCell ref="A61:B61"/>
    <mergeCell ref="A62:B62"/>
    <mergeCell ref="A60:B60"/>
    <mergeCell ref="C60:D60"/>
    <mergeCell ref="C61:D61"/>
    <mergeCell ref="A67:B67"/>
    <mergeCell ref="A68:B68"/>
    <mergeCell ref="A69:B69"/>
    <mergeCell ref="A70:B70"/>
    <mergeCell ref="C66:D66"/>
    <mergeCell ref="E66:F66"/>
    <mergeCell ref="C68:D68"/>
    <mergeCell ref="C69:D69"/>
    <mergeCell ref="C70:D70"/>
    <mergeCell ref="E68:F68"/>
    <mergeCell ref="G66:H66"/>
    <mergeCell ref="I66:J66"/>
    <mergeCell ref="K66:L66"/>
    <mergeCell ref="M66:N66"/>
    <mergeCell ref="C67:D67"/>
    <mergeCell ref="E67:F67"/>
    <mergeCell ref="G67:H67"/>
    <mergeCell ref="I67:J67"/>
    <mergeCell ref="K67:L67"/>
    <mergeCell ref="M67:N67"/>
    <mergeCell ref="K68:L68"/>
    <mergeCell ref="K69:L69"/>
    <mergeCell ref="K70:L70"/>
    <mergeCell ref="M70:N70"/>
    <mergeCell ref="M69:N69"/>
    <mergeCell ref="M68:N68"/>
    <mergeCell ref="E69:F69"/>
    <mergeCell ref="E70:F70"/>
    <mergeCell ref="G68:H68"/>
    <mergeCell ref="G69:H69"/>
    <mergeCell ref="G70:H70"/>
    <mergeCell ref="I68:J68"/>
    <mergeCell ref="I69:J69"/>
    <mergeCell ref="I70:J70"/>
    <mergeCell ref="M72:N72"/>
    <mergeCell ref="A73:B73"/>
    <mergeCell ref="C73:D73"/>
    <mergeCell ref="E73:F73"/>
    <mergeCell ref="G73:H73"/>
    <mergeCell ref="I73:J73"/>
    <mergeCell ref="K73:L73"/>
    <mergeCell ref="M73:N73"/>
    <mergeCell ref="A72:B72"/>
    <mergeCell ref="C72:D72"/>
    <mergeCell ref="E72:F72"/>
    <mergeCell ref="G72:H72"/>
    <mergeCell ref="I72:J72"/>
    <mergeCell ref="K72:L72"/>
    <mergeCell ref="M76:N76"/>
    <mergeCell ref="A76:B76"/>
    <mergeCell ref="C76:D76"/>
    <mergeCell ref="E76:F76"/>
    <mergeCell ref="G76:H76"/>
    <mergeCell ref="I76:J76"/>
    <mergeCell ref="K76:L76"/>
    <mergeCell ref="M74:N74"/>
    <mergeCell ref="A75:B75"/>
    <mergeCell ref="C75:D75"/>
    <mergeCell ref="E75:F75"/>
    <mergeCell ref="G75:H75"/>
    <mergeCell ref="I75:J75"/>
    <mergeCell ref="K75:L75"/>
    <mergeCell ref="M75:N75"/>
    <mergeCell ref="A74:B74"/>
    <mergeCell ref="C74:D74"/>
    <mergeCell ref="E74:F74"/>
    <mergeCell ref="G74:H74"/>
    <mergeCell ref="I74:J74"/>
    <mergeCell ref="K74:L74"/>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4E3D6E-6621-4A82-8359-B7FAA742B2CB}">
  <dimension ref="A1:K31"/>
  <sheetViews>
    <sheetView showGridLines="0" topLeftCell="A12" workbookViewId="0">
      <selection activeCell="K23" sqref="K23"/>
    </sheetView>
  </sheetViews>
  <sheetFormatPr baseColWidth="10" defaultRowHeight="15" x14ac:dyDescent="0.25"/>
  <cols>
    <col min="1" max="16384" width="11.42578125" style="3"/>
  </cols>
  <sheetData>
    <row r="1" spans="1:11" ht="19.5" x14ac:dyDescent="0.35">
      <c r="A1" s="16" t="s">
        <v>114</v>
      </c>
      <c r="B1" s="16"/>
      <c r="C1" s="16"/>
      <c r="D1" s="16"/>
      <c r="E1" s="16"/>
      <c r="F1" s="16"/>
      <c r="G1" s="16"/>
      <c r="H1" s="16"/>
      <c r="I1" s="16"/>
      <c r="J1" s="16"/>
      <c r="K1" s="16"/>
    </row>
    <row r="3" spans="1:11" ht="15.75" x14ac:dyDescent="0.3">
      <c r="A3" s="15" t="s">
        <v>98</v>
      </c>
      <c r="B3" s="15"/>
      <c r="C3" s="15"/>
      <c r="D3" s="15"/>
      <c r="E3" s="15"/>
      <c r="F3" s="15"/>
      <c r="G3" s="15"/>
      <c r="H3" s="15"/>
      <c r="I3" s="15"/>
      <c r="J3" s="15"/>
      <c r="K3" s="15"/>
    </row>
    <row r="4" spans="1:11" ht="15.75" x14ac:dyDescent="0.3">
      <c r="A4" s="15" t="s">
        <v>67</v>
      </c>
      <c r="B4" s="15"/>
      <c r="C4" s="15"/>
      <c r="D4" s="15"/>
      <c r="E4" s="15"/>
      <c r="F4" s="15"/>
      <c r="G4" s="15"/>
      <c r="H4" s="15"/>
      <c r="I4" s="15"/>
      <c r="J4" s="15"/>
      <c r="K4" s="15"/>
    </row>
    <row r="5" spans="1:11" ht="15.75" x14ac:dyDescent="0.3">
      <c r="A5" s="15">
        <v>2016</v>
      </c>
      <c r="B5" s="15"/>
      <c r="C5" s="15"/>
      <c r="D5" s="15"/>
      <c r="E5" s="15"/>
      <c r="F5" s="15"/>
      <c r="G5" s="15"/>
      <c r="H5" s="15"/>
      <c r="I5" s="15"/>
      <c r="J5" s="15"/>
      <c r="K5" s="15"/>
    </row>
    <row r="6" spans="1:11" ht="15.75" x14ac:dyDescent="0.3">
      <c r="A6" s="15" t="s">
        <v>68</v>
      </c>
      <c r="B6" s="15"/>
      <c r="C6" s="15"/>
      <c r="D6" s="15"/>
      <c r="E6" s="15"/>
      <c r="F6" s="15"/>
      <c r="G6" s="15"/>
      <c r="H6" s="15"/>
      <c r="I6" s="15"/>
      <c r="J6" s="15"/>
      <c r="K6" s="15"/>
    </row>
    <row r="8" spans="1:11" ht="15.75" x14ac:dyDescent="0.3">
      <c r="A8" s="29" t="s">
        <v>100</v>
      </c>
      <c r="B8" s="29"/>
      <c r="C8" s="29"/>
      <c r="D8" s="29"/>
      <c r="E8" s="29"/>
      <c r="F8" s="12"/>
      <c r="G8" s="29" t="s">
        <v>108</v>
      </c>
      <c r="H8" s="29"/>
      <c r="I8" s="29"/>
      <c r="J8" s="29"/>
      <c r="K8" s="29"/>
    </row>
    <row r="9" spans="1:11" x14ac:dyDescent="0.25">
      <c r="A9" s="21" t="s">
        <v>101</v>
      </c>
      <c r="B9" s="21"/>
      <c r="C9" s="21"/>
      <c r="D9" s="27">
        <f>Datos!C17</f>
        <v>200000</v>
      </c>
      <c r="E9" s="21"/>
      <c r="F9" s="13"/>
      <c r="G9" s="21" t="s">
        <v>95</v>
      </c>
      <c r="H9" s="21"/>
      <c r="I9" s="21"/>
      <c r="J9" s="22">
        <f>0</f>
        <v>0</v>
      </c>
      <c r="K9" s="22"/>
    </row>
    <row r="10" spans="1:11" ht="15.75" x14ac:dyDescent="0.3">
      <c r="A10" s="44" t="s">
        <v>116</v>
      </c>
      <c r="B10" s="44"/>
      <c r="C10" s="44"/>
      <c r="D10" s="40">
        <f>D9</f>
        <v>200000</v>
      </c>
      <c r="E10" s="29"/>
      <c r="F10" s="12"/>
      <c r="G10" s="29" t="s">
        <v>109</v>
      </c>
      <c r="H10" s="29"/>
      <c r="I10" s="29"/>
      <c r="J10" s="40">
        <f>J9</f>
        <v>0</v>
      </c>
      <c r="K10" s="29"/>
    </row>
    <row r="11" spans="1:11" x14ac:dyDescent="0.25">
      <c r="A11" s="13"/>
      <c r="B11" s="13"/>
      <c r="C11" s="13"/>
      <c r="D11" s="13"/>
      <c r="E11" s="13"/>
      <c r="F11" s="13"/>
      <c r="G11" s="13"/>
      <c r="H11" s="13"/>
      <c r="I11" s="13"/>
      <c r="J11" s="13"/>
      <c r="K11" s="13"/>
    </row>
    <row r="12" spans="1:11" ht="15.75" x14ac:dyDescent="0.3">
      <c r="A12" s="29" t="s">
        <v>103</v>
      </c>
      <c r="B12" s="29"/>
      <c r="C12" s="29"/>
      <c r="D12" s="29"/>
      <c r="E12" s="29"/>
      <c r="F12" s="12"/>
      <c r="G12" s="29" t="s">
        <v>110</v>
      </c>
      <c r="H12" s="29"/>
      <c r="I12" s="29"/>
      <c r="J12" s="29"/>
      <c r="K12" s="29"/>
    </row>
    <row r="13" spans="1:11" x14ac:dyDescent="0.25">
      <c r="A13" s="21" t="s">
        <v>104</v>
      </c>
      <c r="B13" s="21"/>
      <c r="C13" s="21"/>
      <c r="D13" s="21"/>
      <c r="E13" s="21"/>
      <c r="F13" s="13"/>
      <c r="G13" s="21" t="s">
        <v>111</v>
      </c>
      <c r="H13" s="21"/>
      <c r="I13" s="21"/>
      <c r="J13" s="27">
        <f>Datos!C16</f>
        <v>1800000</v>
      </c>
      <c r="K13" s="21"/>
    </row>
    <row r="14" spans="1:11" ht="15.75" x14ac:dyDescent="0.3">
      <c r="A14" s="19" t="s">
        <v>11</v>
      </c>
      <c r="B14" s="19"/>
      <c r="C14" s="19"/>
      <c r="D14" s="28">
        <f>Datos!C6</f>
        <v>100000</v>
      </c>
      <c r="E14" s="19"/>
      <c r="F14" s="12"/>
      <c r="G14" s="29" t="s">
        <v>119</v>
      </c>
      <c r="H14" s="29"/>
      <c r="I14" s="29"/>
      <c r="J14" s="40">
        <f>J13</f>
        <v>1800000</v>
      </c>
      <c r="K14" s="29"/>
    </row>
    <row r="15" spans="1:11" x14ac:dyDescent="0.25">
      <c r="A15" s="21" t="s">
        <v>12</v>
      </c>
      <c r="B15" s="21"/>
      <c r="C15" s="21"/>
      <c r="D15" s="27">
        <f>Datos!C7</f>
        <v>500000</v>
      </c>
      <c r="E15" s="21"/>
      <c r="F15" s="13"/>
      <c r="G15" s="13"/>
      <c r="H15" s="13"/>
      <c r="I15" s="13"/>
      <c r="J15" s="13"/>
      <c r="K15" s="13"/>
    </row>
    <row r="16" spans="1:11" ht="15.75" x14ac:dyDescent="0.3">
      <c r="A16" s="19" t="s">
        <v>105</v>
      </c>
      <c r="B16" s="19"/>
      <c r="C16" s="19"/>
      <c r="D16" s="28">
        <f>Datos!C10</f>
        <v>1000000</v>
      </c>
      <c r="E16" s="19"/>
      <c r="F16" s="12"/>
      <c r="G16" s="29" t="s">
        <v>120</v>
      </c>
      <c r="H16" s="29"/>
      <c r="I16" s="29"/>
      <c r="J16" s="40">
        <f>J14+J10</f>
        <v>1800000</v>
      </c>
      <c r="K16" s="29"/>
    </row>
    <row r="17" spans="1:9" ht="15.75" x14ac:dyDescent="0.3">
      <c r="A17" s="41" t="s">
        <v>117</v>
      </c>
      <c r="B17" s="41"/>
      <c r="C17" s="41"/>
      <c r="D17" s="42">
        <f>SUM(D14:E16)</f>
        <v>1600000</v>
      </c>
      <c r="E17" s="43"/>
    </row>
    <row r="18" spans="1:9" x14ac:dyDescent="0.25">
      <c r="A18" s="12"/>
      <c r="B18" s="12"/>
      <c r="C18" s="12"/>
      <c r="D18" s="12"/>
      <c r="E18" s="12"/>
    </row>
    <row r="19" spans="1:9" ht="15.75" x14ac:dyDescent="0.3">
      <c r="A19" s="43" t="s">
        <v>118</v>
      </c>
      <c r="B19" s="43"/>
      <c r="C19" s="43"/>
      <c r="D19" s="42">
        <f>D17+D10</f>
        <v>1800000</v>
      </c>
      <c r="E19" s="43"/>
    </row>
    <row r="21" spans="1:9" x14ac:dyDescent="0.25">
      <c r="A21" s="1"/>
      <c r="B21" s="1"/>
      <c r="C21" s="1"/>
      <c r="D21" s="1"/>
      <c r="E21" s="1"/>
      <c r="F21" s="1"/>
      <c r="G21" s="1"/>
      <c r="H21" s="1"/>
      <c r="I21" s="1"/>
    </row>
    <row r="22" spans="1:9" x14ac:dyDescent="0.25">
      <c r="A22"/>
      <c r="B22"/>
      <c r="C22"/>
      <c r="D22"/>
      <c r="E22"/>
      <c r="F22"/>
      <c r="G22"/>
      <c r="H22"/>
      <c r="I22"/>
    </row>
    <row r="23" spans="1:9" x14ac:dyDescent="0.25">
      <c r="A23"/>
      <c r="B23"/>
      <c r="C23"/>
      <c r="D23"/>
      <c r="E23"/>
      <c r="F23"/>
      <c r="G23"/>
      <c r="H23"/>
      <c r="I23"/>
    </row>
    <row r="24" spans="1:9" x14ac:dyDescent="0.25">
      <c r="A24"/>
      <c r="B24"/>
      <c r="C24"/>
      <c r="D24"/>
      <c r="E24"/>
      <c r="F24"/>
      <c r="G24"/>
      <c r="H24"/>
      <c r="I24"/>
    </row>
    <row r="25" spans="1:9" x14ac:dyDescent="0.25">
      <c r="A25"/>
      <c r="B25"/>
      <c r="C25"/>
      <c r="D25"/>
      <c r="E25"/>
      <c r="F25"/>
      <c r="G25"/>
      <c r="H25"/>
      <c r="I25"/>
    </row>
    <row r="26" spans="1:9" x14ac:dyDescent="0.25">
      <c r="A26"/>
      <c r="B26"/>
      <c r="C26"/>
      <c r="D26"/>
      <c r="E26"/>
      <c r="F26"/>
      <c r="G26"/>
      <c r="H26"/>
      <c r="I26"/>
    </row>
    <row r="27" spans="1:9" x14ac:dyDescent="0.25">
      <c r="A27"/>
      <c r="B27"/>
      <c r="C27"/>
      <c r="D27"/>
      <c r="E27"/>
      <c r="F27"/>
      <c r="G27"/>
      <c r="H27"/>
      <c r="I27"/>
    </row>
    <row r="28" spans="1:9" x14ac:dyDescent="0.25">
      <c r="A28"/>
      <c r="B28"/>
      <c r="C28"/>
      <c r="D28"/>
      <c r="E28"/>
      <c r="F28"/>
      <c r="G28"/>
      <c r="H28"/>
      <c r="I28"/>
    </row>
    <row r="29" spans="1:9" x14ac:dyDescent="0.25">
      <c r="A29"/>
      <c r="B29"/>
      <c r="C29"/>
      <c r="D29"/>
      <c r="E29"/>
      <c r="F29"/>
      <c r="G29"/>
      <c r="H29"/>
      <c r="I29"/>
    </row>
    <row r="30" spans="1:9" x14ac:dyDescent="0.25">
      <c r="A30"/>
      <c r="B30"/>
      <c r="C30"/>
      <c r="D30"/>
      <c r="E30"/>
      <c r="F30"/>
      <c r="G30"/>
      <c r="H30"/>
      <c r="I30"/>
    </row>
    <row r="31" spans="1:9" x14ac:dyDescent="0.25">
      <c r="A31"/>
      <c r="B31"/>
      <c r="C31"/>
      <c r="D31"/>
      <c r="E31"/>
      <c r="F31"/>
      <c r="G31"/>
      <c r="H31"/>
      <c r="I31"/>
    </row>
  </sheetData>
  <mergeCells count="34">
    <mergeCell ref="A13:E13"/>
    <mergeCell ref="A1:K1"/>
    <mergeCell ref="A3:K3"/>
    <mergeCell ref="A4:K4"/>
    <mergeCell ref="A5:K5"/>
    <mergeCell ref="A6:K6"/>
    <mergeCell ref="A8:E8"/>
    <mergeCell ref="G8:K8"/>
    <mergeCell ref="J9:K9"/>
    <mergeCell ref="G10:I10"/>
    <mergeCell ref="J10:K10"/>
    <mergeCell ref="G12:K12"/>
    <mergeCell ref="G13:I13"/>
    <mergeCell ref="A17:C17"/>
    <mergeCell ref="D17:E17"/>
    <mergeCell ref="A19:C19"/>
    <mergeCell ref="D19:E19"/>
    <mergeCell ref="G9:I9"/>
    <mergeCell ref="A14:C14"/>
    <mergeCell ref="A15:C15"/>
    <mergeCell ref="A16:C16"/>
    <mergeCell ref="D14:E14"/>
    <mergeCell ref="D15:E15"/>
    <mergeCell ref="D16:E16"/>
    <mergeCell ref="A9:C9"/>
    <mergeCell ref="D9:E9"/>
    <mergeCell ref="A10:C10"/>
    <mergeCell ref="D10:E10"/>
    <mergeCell ref="A12:E12"/>
    <mergeCell ref="J13:K13"/>
    <mergeCell ref="G14:I14"/>
    <mergeCell ref="J14:K14"/>
    <mergeCell ref="G16:I16"/>
    <mergeCell ref="J16:K16"/>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36E06-0D5F-477A-B6E0-6B23575447F1}">
  <dimension ref="A1:N55"/>
  <sheetViews>
    <sheetView showGridLines="0" topLeftCell="A34" workbookViewId="0">
      <selection activeCell="K47" sqref="K47"/>
    </sheetView>
  </sheetViews>
  <sheetFormatPr baseColWidth="10" defaultRowHeight="15" x14ac:dyDescent="0.25"/>
  <cols>
    <col min="1" max="1" width="3.7109375" style="3" customWidth="1"/>
    <col min="2" max="16384" width="11.42578125" style="3"/>
  </cols>
  <sheetData>
    <row r="1" spans="1:14" ht="19.5" x14ac:dyDescent="0.35">
      <c r="A1" s="16" t="s">
        <v>65</v>
      </c>
      <c r="B1" s="16"/>
      <c r="C1" s="16"/>
      <c r="D1" s="16"/>
      <c r="E1" s="16"/>
      <c r="F1" s="16"/>
      <c r="G1" s="16"/>
      <c r="H1" s="16"/>
      <c r="I1" s="16"/>
      <c r="J1" s="16"/>
      <c r="K1" s="16"/>
      <c r="L1" s="16"/>
      <c r="M1" s="16"/>
      <c r="N1" s="16"/>
    </row>
    <row r="3" spans="1:14" x14ac:dyDescent="0.25">
      <c r="A3" s="46" t="s">
        <v>66</v>
      </c>
      <c r="B3" s="46"/>
      <c r="C3" s="46"/>
      <c r="D3" s="46"/>
      <c r="E3" s="46"/>
      <c r="F3" s="46"/>
      <c r="G3" s="46"/>
      <c r="H3" s="46"/>
      <c r="I3" s="46"/>
      <c r="J3" s="46"/>
      <c r="K3" s="46"/>
      <c r="L3" s="46"/>
      <c r="M3" s="46"/>
      <c r="N3" s="46"/>
    </row>
    <row r="4" spans="1:14" x14ac:dyDescent="0.25">
      <c r="A4" s="46" t="s">
        <v>67</v>
      </c>
      <c r="B4" s="46"/>
      <c r="C4" s="46"/>
      <c r="D4" s="46"/>
      <c r="E4" s="46"/>
      <c r="F4" s="46"/>
      <c r="G4" s="46"/>
      <c r="H4" s="46"/>
      <c r="I4" s="46"/>
      <c r="J4" s="46"/>
      <c r="K4" s="46"/>
      <c r="L4" s="46"/>
      <c r="M4" s="46"/>
      <c r="N4" s="46"/>
    </row>
    <row r="5" spans="1:14" x14ac:dyDescent="0.25">
      <c r="A5" s="46" t="s">
        <v>68</v>
      </c>
      <c r="B5" s="46"/>
      <c r="C5" s="46"/>
      <c r="D5" s="46"/>
      <c r="E5" s="46"/>
      <c r="F5" s="46"/>
      <c r="G5" s="46"/>
      <c r="H5" s="46"/>
      <c r="I5" s="46"/>
      <c r="J5" s="46"/>
      <c r="K5" s="46"/>
      <c r="L5" s="46"/>
      <c r="M5" s="46"/>
      <c r="N5" s="46"/>
    </row>
    <row r="6" spans="1:14" x14ac:dyDescent="0.25">
      <c r="A6" s="8"/>
      <c r="B6" s="8"/>
      <c r="C6" s="8"/>
      <c r="D6" s="8"/>
      <c r="E6" s="8"/>
      <c r="F6" s="8"/>
      <c r="G6" s="8"/>
      <c r="H6" s="8"/>
      <c r="I6" s="8"/>
      <c r="J6" s="8"/>
      <c r="K6" s="8"/>
      <c r="L6" s="8"/>
      <c r="M6" s="8"/>
      <c r="N6" s="8"/>
    </row>
    <row r="7" spans="1:14" ht="15.75" x14ac:dyDescent="0.3">
      <c r="A7" s="46"/>
      <c r="B7" s="46"/>
      <c r="C7" s="46"/>
      <c r="D7" s="10"/>
      <c r="E7" s="15" t="s">
        <v>69</v>
      </c>
      <c r="F7" s="46"/>
      <c r="G7" s="15" t="s">
        <v>70</v>
      </c>
      <c r="H7" s="15"/>
      <c r="I7" s="15" t="s">
        <v>71</v>
      </c>
      <c r="J7" s="15"/>
      <c r="K7" s="15" t="s">
        <v>72</v>
      </c>
      <c r="L7" s="15"/>
      <c r="M7" s="15" t="s">
        <v>73</v>
      </c>
      <c r="N7" s="15"/>
    </row>
    <row r="8" spans="1:14" x14ac:dyDescent="0.25">
      <c r="A8" s="8"/>
      <c r="B8" s="51" t="s">
        <v>74</v>
      </c>
      <c r="C8" s="51"/>
      <c r="D8" s="51"/>
      <c r="E8" s="47">
        <f>Datos!C67*Datos!C68</f>
        <v>16000000</v>
      </c>
      <c r="F8" s="48"/>
      <c r="G8" s="47">
        <f>Datos!E67*Datos!E68</f>
        <v>17640000</v>
      </c>
      <c r="H8" s="48"/>
      <c r="I8" s="47">
        <f>Datos!G68*Datos!G67</f>
        <v>19448100</v>
      </c>
      <c r="J8" s="48"/>
      <c r="K8" s="47">
        <f>Datos!I67*Datos!I68</f>
        <v>21441530.25</v>
      </c>
      <c r="L8" s="48"/>
      <c r="M8" s="47">
        <f>Datos!K67*Datos!K68</f>
        <v>23639287.100625001</v>
      </c>
      <c r="N8" s="48"/>
    </row>
    <row r="9" spans="1:14" x14ac:dyDescent="0.25">
      <c r="A9" s="11" t="s">
        <v>75</v>
      </c>
      <c r="B9" s="52" t="s">
        <v>121</v>
      </c>
      <c r="C9" s="52"/>
      <c r="D9" s="52"/>
      <c r="E9" s="49">
        <f>E8-(Datos!C69*Datos!C67)</f>
        <v>2206896.5517241377</v>
      </c>
      <c r="F9" s="49"/>
      <c r="G9" s="45">
        <f>G8-(Datos!E69*Datos!E67)</f>
        <v>2433103.4482758623</v>
      </c>
      <c r="H9" s="46"/>
      <c r="I9" s="45">
        <f>I8-(Datos!G69*Datos!G67)</f>
        <v>2682496.5517241359</v>
      </c>
      <c r="J9" s="46"/>
      <c r="K9" s="45">
        <f>K8-(Datos!I67*Datos!I69)</f>
        <v>2957452.4482758604</v>
      </c>
      <c r="L9" s="46"/>
      <c r="M9" s="45">
        <f>M8-(Datos!K67*Datos!K69)</f>
        <v>3260591.3242241368</v>
      </c>
      <c r="N9" s="46"/>
    </row>
    <row r="10" spans="1:14" ht="15.75" x14ac:dyDescent="0.3">
      <c r="A10" s="59" t="s">
        <v>77</v>
      </c>
      <c r="B10" s="55" t="s">
        <v>76</v>
      </c>
      <c r="C10" s="55"/>
      <c r="D10" s="55"/>
      <c r="E10" s="56">
        <f>E8-E9</f>
        <v>13793103.448275862</v>
      </c>
      <c r="F10" s="57"/>
      <c r="G10" s="56">
        <f>G8-G9</f>
        <v>15206896.551724138</v>
      </c>
      <c r="H10" s="57"/>
      <c r="I10" s="56">
        <f>I8-I9</f>
        <v>16765603.448275864</v>
      </c>
      <c r="J10" s="57"/>
      <c r="K10" s="56">
        <f>K8-K9</f>
        <v>18484077.80172414</v>
      </c>
      <c r="L10" s="57"/>
      <c r="M10" s="56">
        <f>M8-M9</f>
        <v>20378695.776400864</v>
      </c>
      <c r="N10" s="57"/>
    </row>
    <row r="11" spans="1:14" x14ac:dyDescent="0.25">
      <c r="A11" s="11"/>
      <c r="B11" s="52" t="s">
        <v>81</v>
      </c>
      <c r="C11" s="52"/>
      <c r="D11" s="52"/>
      <c r="E11" s="45">
        <f>Datos!C67*Datos!E21</f>
        <v>2400000</v>
      </c>
      <c r="F11" s="46"/>
      <c r="G11" s="45">
        <f>Datos!E67*Datos!G21</f>
        <v>2721600</v>
      </c>
      <c r="H11" s="46"/>
      <c r="I11" s="45">
        <f>Datos!G67*Datos!I21</f>
        <v>3086294.4</v>
      </c>
      <c r="J11" s="46"/>
      <c r="K11" s="45">
        <f>Datos!I67*Datos!K21</f>
        <v>3499857.8495999998</v>
      </c>
      <c r="L11" s="46"/>
      <c r="M11" s="45">
        <f>Datos!K67*Datos!M21</f>
        <v>3968838.8014464001</v>
      </c>
      <c r="N11" s="46"/>
    </row>
    <row r="12" spans="1:14" x14ac:dyDescent="0.25">
      <c r="A12" s="9"/>
      <c r="B12" s="51" t="s">
        <v>82</v>
      </c>
      <c r="C12" s="51"/>
      <c r="D12" s="51"/>
      <c r="E12" s="47">
        <f>Datos!E22*Datos!C67</f>
        <v>1600000</v>
      </c>
      <c r="F12" s="48"/>
      <c r="G12" s="47">
        <f>Datos!G22*Datos!E67</f>
        <v>1814400.0000000002</v>
      </c>
      <c r="H12" s="48"/>
      <c r="I12" s="47">
        <f>Datos!I22*Datos!G67</f>
        <v>2057529.6000000003</v>
      </c>
      <c r="J12" s="48"/>
      <c r="K12" s="47">
        <f>Datos!K22*Datos!I67</f>
        <v>2333238.5664000004</v>
      </c>
      <c r="L12" s="48"/>
      <c r="M12" s="47">
        <f>Datos!M22*Datos!K67</f>
        <v>2645892.5342976009</v>
      </c>
      <c r="N12" s="48"/>
    </row>
    <row r="13" spans="1:14" x14ac:dyDescent="0.25">
      <c r="A13" s="11"/>
      <c r="B13" s="52" t="s">
        <v>83</v>
      </c>
      <c r="C13" s="52"/>
      <c r="D13" s="52"/>
      <c r="E13" s="45">
        <f>Datos!E23*Datos!C67</f>
        <v>1000000</v>
      </c>
      <c r="F13" s="46"/>
      <c r="G13" s="45">
        <f>Datos!E67*Datos!G23</f>
        <v>1134000</v>
      </c>
      <c r="H13" s="46"/>
      <c r="I13" s="45">
        <f>Datos!G67*Datos!I23</f>
        <v>1285956.0000000002</v>
      </c>
      <c r="J13" s="46"/>
      <c r="K13" s="45">
        <f>Datos!I67*Datos!K23</f>
        <v>1458274.1040000003</v>
      </c>
      <c r="L13" s="46"/>
      <c r="M13" s="45">
        <f>Datos!K67*Datos!M23</f>
        <v>1653682.8339360005</v>
      </c>
      <c r="N13" s="46"/>
    </row>
    <row r="14" spans="1:14" x14ac:dyDescent="0.25">
      <c r="A14" s="9"/>
      <c r="B14" s="51" t="s">
        <v>84</v>
      </c>
      <c r="C14" s="51"/>
      <c r="D14" s="51"/>
      <c r="E14" s="47">
        <f>Datos!C67*Datos!E24</f>
        <v>1000000</v>
      </c>
      <c r="F14" s="48"/>
      <c r="G14" s="47">
        <f>Datos!G24*Datos!E67</f>
        <v>1134000</v>
      </c>
      <c r="H14" s="48"/>
      <c r="I14" s="47">
        <f>Datos!I24*Datos!G67</f>
        <v>1285956.0000000002</v>
      </c>
      <c r="J14" s="48"/>
      <c r="K14" s="47">
        <f>Datos!K24*Datos!I67</f>
        <v>1458274.1040000003</v>
      </c>
      <c r="L14" s="48"/>
      <c r="M14" s="47">
        <f>Datos!M24*Datos!K67</f>
        <v>1653682.8339360005</v>
      </c>
      <c r="N14" s="48"/>
    </row>
    <row r="15" spans="1:14" x14ac:dyDescent="0.25">
      <c r="A15" s="11"/>
      <c r="B15" s="52" t="s">
        <v>85</v>
      </c>
      <c r="C15" s="52"/>
      <c r="D15" s="52"/>
      <c r="E15" s="45">
        <f>Datos!E25</f>
        <v>150000</v>
      </c>
      <c r="F15" s="46"/>
      <c r="G15" s="45">
        <f>Datos!G25</f>
        <v>162000</v>
      </c>
      <c r="H15" s="46"/>
      <c r="I15" s="45">
        <f>Datos!I25</f>
        <v>174960</v>
      </c>
      <c r="J15" s="46"/>
      <c r="K15" s="45">
        <f>Datos!K25</f>
        <v>188956.80000000002</v>
      </c>
      <c r="L15" s="46"/>
      <c r="M15" s="45">
        <f>Datos!M25</f>
        <v>204073.34400000004</v>
      </c>
      <c r="N15" s="46"/>
    </row>
    <row r="16" spans="1:14" x14ac:dyDescent="0.25">
      <c r="A16" s="8"/>
      <c r="B16" s="51" t="s">
        <v>86</v>
      </c>
      <c r="C16" s="51"/>
      <c r="D16" s="51"/>
      <c r="E16" s="47">
        <f>Datos!C70</f>
        <v>0</v>
      </c>
      <c r="F16" s="48"/>
      <c r="G16" s="47">
        <f>Datos!E70</f>
        <v>0</v>
      </c>
      <c r="H16" s="48"/>
      <c r="I16" s="47">
        <f>Datos!G70</f>
        <v>0</v>
      </c>
      <c r="J16" s="48"/>
      <c r="K16" s="47">
        <f>Datos!I70</f>
        <v>0</v>
      </c>
      <c r="L16" s="48"/>
      <c r="M16" s="47">
        <f>Datos!K70</f>
        <v>0</v>
      </c>
      <c r="N16" s="48"/>
    </row>
    <row r="17" spans="1:14" ht="15.75" x14ac:dyDescent="0.3">
      <c r="A17" s="60" t="s">
        <v>75</v>
      </c>
      <c r="B17" s="53" t="s">
        <v>87</v>
      </c>
      <c r="C17" s="53"/>
      <c r="D17" s="53"/>
      <c r="E17" s="54">
        <f>SUM(E11:F16)</f>
        <v>6150000</v>
      </c>
      <c r="F17" s="15"/>
      <c r="G17" s="54">
        <f>SUM(G11:H16)</f>
        <v>6966000</v>
      </c>
      <c r="H17" s="15"/>
      <c r="I17" s="54">
        <f>SUM(I11:J16)</f>
        <v>7890696</v>
      </c>
      <c r="J17" s="15"/>
      <c r="K17" s="54">
        <f>SUM(K11:L16)</f>
        <v>8938601.4240000024</v>
      </c>
      <c r="L17" s="15"/>
      <c r="M17" s="54">
        <f>SUM(M11:N16)</f>
        <v>10126170.347616002</v>
      </c>
      <c r="N17" s="15"/>
    </row>
    <row r="18" spans="1:14" x14ac:dyDescent="0.25">
      <c r="A18" s="9" t="s">
        <v>75</v>
      </c>
      <c r="B18" s="51" t="s">
        <v>88</v>
      </c>
      <c r="C18" s="51"/>
      <c r="D18" s="51"/>
      <c r="E18" s="47">
        <f>Datos!C9+Datos!C13</f>
        <v>196666.66666666666</v>
      </c>
      <c r="F18" s="48"/>
      <c r="G18" s="47">
        <f>Datos!C9+Datos!C13</f>
        <v>196666.66666666666</v>
      </c>
      <c r="H18" s="48"/>
      <c r="I18" s="47">
        <f>Datos!C9+Datos!C13</f>
        <v>196666.66666666666</v>
      </c>
      <c r="J18" s="48"/>
      <c r="K18" s="47">
        <f>Datos!C9+Datos!C13</f>
        <v>196666.66666666666</v>
      </c>
      <c r="L18" s="48"/>
      <c r="M18" s="47">
        <f>Datos!C9+Datos!C13</f>
        <v>196666.66666666666</v>
      </c>
      <c r="N18" s="48"/>
    </row>
    <row r="19" spans="1:14" ht="15.75" x14ac:dyDescent="0.3">
      <c r="A19" s="60" t="s">
        <v>77</v>
      </c>
      <c r="B19" s="53" t="s">
        <v>79</v>
      </c>
      <c r="C19" s="53"/>
      <c r="D19" s="53"/>
      <c r="E19" s="54">
        <f>E10-E17-E18</f>
        <v>7446436.7816091953</v>
      </c>
      <c r="F19" s="15"/>
      <c r="G19" s="54">
        <f>G10-(G17+G18)</f>
        <v>8044229.8850574708</v>
      </c>
      <c r="H19" s="15"/>
      <c r="I19" s="54">
        <f>I10-(I17+I18)</f>
        <v>8678240.7816091962</v>
      </c>
      <c r="J19" s="15"/>
      <c r="K19" s="54">
        <f>K10-(K17+K18)</f>
        <v>9348809.7110574711</v>
      </c>
      <c r="L19" s="15"/>
      <c r="M19" s="54">
        <f>M10-(M17+M18)</f>
        <v>10055858.762118196</v>
      </c>
      <c r="N19" s="15"/>
    </row>
    <row r="20" spans="1:14" x14ac:dyDescent="0.25">
      <c r="A20" s="9" t="s">
        <v>75</v>
      </c>
      <c r="B20" s="51" t="s">
        <v>89</v>
      </c>
      <c r="C20" s="51"/>
      <c r="D20" s="51"/>
      <c r="E20" s="47">
        <f>Datos!C67*Datos!E26</f>
        <v>2000000</v>
      </c>
      <c r="F20" s="48"/>
      <c r="G20" s="47">
        <f>Datos!E67*Datos!G26</f>
        <v>2205000</v>
      </c>
      <c r="H20" s="48"/>
      <c r="I20" s="47">
        <f>Datos!G67*Datos!I26</f>
        <v>2431012.5</v>
      </c>
      <c r="J20" s="48"/>
      <c r="K20" s="47">
        <f>Datos!K26*Datos!I67</f>
        <v>2680191.28125</v>
      </c>
      <c r="L20" s="48"/>
      <c r="M20" s="47">
        <f>Datos!K67*Datos!M26</f>
        <v>2954910.8875781251</v>
      </c>
      <c r="N20" s="48"/>
    </row>
    <row r="21" spans="1:14" x14ac:dyDescent="0.25">
      <c r="A21" s="11" t="s">
        <v>75</v>
      </c>
      <c r="B21" s="52" t="s">
        <v>80</v>
      </c>
      <c r="C21" s="52"/>
      <c r="D21" s="52"/>
      <c r="E21" s="45">
        <f>Datos!C67*Datos!E27</f>
        <v>4000000</v>
      </c>
      <c r="F21" s="46"/>
      <c r="G21" s="45">
        <f>Datos!E67*Datos!G27</f>
        <v>4410000</v>
      </c>
      <c r="H21" s="46"/>
      <c r="I21" s="45">
        <f>Datos!G67*Datos!I27</f>
        <v>4862025</v>
      </c>
      <c r="J21" s="46"/>
      <c r="K21" s="45">
        <f>Datos!I67*Datos!K27</f>
        <v>5360382.5625</v>
      </c>
      <c r="L21" s="46"/>
      <c r="M21" s="45">
        <f>Datos!M27*Datos!K67</f>
        <v>5909821.7751562502</v>
      </c>
      <c r="N21" s="46"/>
    </row>
    <row r="22" spans="1:14" ht="15.75" x14ac:dyDescent="0.3">
      <c r="A22" s="59" t="s">
        <v>77</v>
      </c>
      <c r="B22" s="58" t="s">
        <v>90</v>
      </c>
      <c r="C22" s="58"/>
      <c r="D22" s="58"/>
      <c r="E22" s="56">
        <f>E19-(E20+E21)</f>
        <v>1446436.7816091953</v>
      </c>
      <c r="F22" s="57"/>
      <c r="G22" s="56">
        <f>G19-(G20+G21)</f>
        <v>1429229.8850574708</v>
      </c>
      <c r="H22" s="57"/>
      <c r="I22" s="56">
        <f>I19-(I20+I21)</f>
        <v>1385203.2816091962</v>
      </c>
      <c r="J22" s="57"/>
      <c r="K22" s="56">
        <f>K19-(K20+K21)</f>
        <v>1308235.8673074711</v>
      </c>
      <c r="L22" s="57"/>
      <c r="M22" s="56">
        <f>M19-(M20+M21)</f>
        <v>1191126.0993838217</v>
      </c>
      <c r="N22" s="57"/>
    </row>
    <row r="23" spans="1:14" x14ac:dyDescent="0.25">
      <c r="A23" s="11" t="s">
        <v>75</v>
      </c>
      <c r="B23" s="52" t="s">
        <v>91</v>
      </c>
      <c r="C23" s="52"/>
      <c r="D23" s="52"/>
      <c r="E23" s="45">
        <f>E22*Datos!L11</f>
        <v>506252.87356321834</v>
      </c>
      <c r="F23" s="46"/>
      <c r="G23" s="45">
        <f>G22*Datos!L11</f>
        <v>500230.45977011474</v>
      </c>
      <c r="H23" s="46"/>
      <c r="I23" s="45">
        <f>I22*Datos!L11</f>
        <v>484821.14856321865</v>
      </c>
      <c r="J23" s="46"/>
      <c r="K23" s="45">
        <f>K22*Datos!L11</f>
        <v>457882.55355761485</v>
      </c>
      <c r="L23" s="46"/>
      <c r="M23" s="45">
        <f>M22*Datos!L11</f>
        <v>416894.1347843376</v>
      </c>
      <c r="N23" s="46"/>
    </row>
    <row r="24" spans="1:14" ht="15.75" x14ac:dyDescent="0.3">
      <c r="A24" s="59" t="s">
        <v>77</v>
      </c>
      <c r="B24" s="55" t="s">
        <v>92</v>
      </c>
      <c r="C24" s="55"/>
      <c r="D24" s="55"/>
      <c r="E24" s="56">
        <f>E22-E23</f>
        <v>940183.90804597689</v>
      </c>
      <c r="F24" s="57"/>
      <c r="G24" s="56">
        <f>G22-G23</f>
        <v>928999.42528735602</v>
      </c>
      <c r="H24" s="57"/>
      <c r="I24" s="56">
        <f>I22-I23</f>
        <v>900382.13304597756</v>
      </c>
      <c r="J24" s="57"/>
      <c r="K24" s="56">
        <f>K22-K23</f>
        <v>850353.31374985632</v>
      </c>
      <c r="L24" s="57"/>
      <c r="M24" s="56">
        <f>M22-M23</f>
        <v>774231.96459948411</v>
      </c>
      <c r="N24" s="57"/>
    </row>
    <row r="26" spans="1:14" ht="15.75" x14ac:dyDescent="0.3">
      <c r="A26" s="46"/>
      <c r="B26" s="46"/>
      <c r="C26" s="46"/>
      <c r="D26" s="10"/>
      <c r="E26" s="15" t="s">
        <v>123</v>
      </c>
      <c r="F26" s="46"/>
      <c r="G26" s="15" t="s">
        <v>124</v>
      </c>
      <c r="H26" s="15"/>
      <c r="I26" s="15" t="s">
        <v>125</v>
      </c>
      <c r="J26" s="15"/>
      <c r="K26" s="15" t="s">
        <v>126</v>
      </c>
      <c r="L26" s="15"/>
      <c r="M26" s="15" t="s">
        <v>127</v>
      </c>
      <c r="N26" s="15"/>
    </row>
    <row r="27" spans="1:14" x14ac:dyDescent="0.25">
      <c r="A27" s="8"/>
      <c r="B27" s="51" t="s">
        <v>74</v>
      </c>
      <c r="C27" s="51"/>
      <c r="D27" s="51"/>
      <c r="E27" s="61">
        <f>Datos!M67*Datos!M68</f>
        <v>26062314.028439067</v>
      </c>
      <c r="F27" s="61"/>
      <c r="G27" s="61">
        <f>Datos!C73*Datos!C74</f>
        <v>28733701.216354076</v>
      </c>
      <c r="H27" s="61"/>
      <c r="I27" s="61">
        <f>Datos!E73*Datos!E74</f>
        <v>31678905.591030374</v>
      </c>
      <c r="J27" s="61"/>
      <c r="K27" s="61">
        <f>Datos!G73*Datos!G74</f>
        <v>34925993.414110988</v>
      </c>
      <c r="L27" s="61"/>
      <c r="M27" s="61">
        <f>Datos!I73*Datos!I74</f>
        <v>38505907.73905737</v>
      </c>
      <c r="N27" s="61"/>
    </row>
    <row r="28" spans="1:14" x14ac:dyDescent="0.25">
      <c r="A28" s="11" t="s">
        <v>75</v>
      </c>
      <c r="B28" s="52" t="s">
        <v>121</v>
      </c>
      <c r="C28" s="52"/>
      <c r="D28" s="52"/>
      <c r="E28" s="49">
        <f>E27-(Datos!M67*Datos!M69)</f>
        <v>3594801.9349571094</v>
      </c>
      <c r="F28" s="49"/>
      <c r="G28" s="49">
        <f>'Estado de Resultados'!G27-(Datos!C73*Datos!C75)</f>
        <v>3963269.1332902163</v>
      </c>
      <c r="H28" s="49"/>
      <c r="I28" s="49">
        <f>I27-(Datos!E73*Datos!E75)</f>
        <v>4369504.2194524668</v>
      </c>
      <c r="J28" s="49"/>
      <c r="K28" s="49">
        <f>K27-(Datos!G73*Datos!G75)</f>
        <v>4817378.4019463398</v>
      </c>
      <c r="L28" s="49"/>
      <c r="M28" s="49">
        <f>M27-(Datos!I73*Datos!I75)</f>
        <v>5311159.6881458424</v>
      </c>
      <c r="N28" s="49"/>
    </row>
    <row r="29" spans="1:14" ht="15.75" x14ac:dyDescent="0.3">
      <c r="A29" s="59" t="s">
        <v>77</v>
      </c>
      <c r="B29" s="55" t="s">
        <v>76</v>
      </c>
      <c r="C29" s="55"/>
      <c r="D29" s="55"/>
      <c r="E29" s="62">
        <f>E27-E28</f>
        <v>22467512.093481958</v>
      </c>
      <c r="F29" s="62"/>
      <c r="G29" s="62">
        <f>G27-G28</f>
        <v>24770432.083063859</v>
      </c>
      <c r="H29" s="62"/>
      <c r="I29" s="62">
        <f>I27-I28</f>
        <v>27309401.371577907</v>
      </c>
      <c r="J29" s="62"/>
      <c r="K29" s="62">
        <f>K27-K28</f>
        <v>30108615.012164649</v>
      </c>
      <c r="L29" s="62"/>
      <c r="M29" s="62">
        <f>M27-M28</f>
        <v>33194748.050911527</v>
      </c>
      <c r="N29" s="62"/>
    </row>
    <row r="30" spans="1:14" x14ac:dyDescent="0.25">
      <c r="A30" s="11"/>
      <c r="B30" s="52" t="s">
        <v>81</v>
      </c>
      <c r="C30" s="52"/>
      <c r="D30" s="52"/>
      <c r="E30" s="49">
        <f>Datos!E32*25000</f>
        <v>4407984.2304000007</v>
      </c>
      <c r="F30" s="49"/>
      <c r="G30" s="49">
        <f>Datos!G32*25000</f>
        <v>4760622.9688320002</v>
      </c>
      <c r="H30" s="49"/>
      <c r="I30" s="49">
        <f>Datos!I32*25000</f>
        <v>5141472.8063385608</v>
      </c>
      <c r="J30" s="49"/>
      <c r="K30" s="49">
        <f>Datos!K32*25000</f>
        <v>5552790.6308456464</v>
      </c>
      <c r="L30" s="49"/>
      <c r="M30" s="49">
        <f>Datos!M32*25000</f>
        <v>5997013.8813132979</v>
      </c>
      <c r="N30" s="49"/>
    </row>
    <row r="31" spans="1:14" x14ac:dyDescent="0.25">
      <c r="A31" s="9"/>
      <c r="B31" s="51" t="s">
        <v>82</v>
      </c>
      <c r="C31" s="51"/>
      <c r="D31" s="51"/>
      <c r="E31" s="61">
        <f>Datos!E33*25000</f>
        <v>2938656.1536000008</v>
      </c>
      <c r="F31" s="61"/>
      <c r="G31" s="61">
        <f>Datos!G33*25000</f>
        <v>3173748.6458880012</v>
      </c>
      <c r="H31" s="61"/>
      <c r="I31" s="61">
        <f>Datos!I33*25000</f>
        <v>3427648.5375590418</v>
      </c>
      <c r="J31" s="61"/>
      <c r="K31" s="61">
        <f>Datos!K33*25000</f>
        <v>3701860.4205637658</v>
      </c>
      <c r="L31" s="61"/>
      <c r="M31" s="61">
        <f>Datos!M33*25000</f>
        <v>3998009.254208867</v>
      </c>
      <c r="N31" s="61"/>
    </row>
    <row r="32" spans="1:14" x14ac:dyDescent="0.25">
      <c r="A32" s="11"/>
      <c r="B32" s="52" t="s">
        <v>83</v>
      </c>
      <c r="C32" s="52"/>
      <c r="D32" s="52"/>
      <c r="E32" s="49">
        <f>Datos!E34*25000</f>
        <v>1836660.0960000006</v>
      </c>
      <c r="F32" s="49"/>
      <c r="G32" s="49">
        <f>Datos!G34*25000</f>
        <v>1983592.9036800007</v>
      </c>
      <c r="H32" s="49"/>
      <c r="I32" s="49">
        <f>Datos!I34*25000</f>
        <v>2142280.3359744009</v>
      </c>
      <c r="J32" s="49"/>
      <c r="K32" s="49">
        <f>Datos!K34*25000</f>
        <v>2313662.762852353</v>
      </c>
      <c r="L32" s="49"/>
      <c r="M32" s="49">
        <f>Datos!M34*25000</f>
        <v>2498755.7838805416</v>
      </c>
      <c r="N32" s="49"/>
    </row>
    <row r="33" spans="1:14" x14ac:dyDescent="0.25">
      <c r="A33" s="9"/>
      <c r="B33" s="51" t="s">
        <v>84</v>
      </c>
      <c r="C33" s="51"/>
      <c r="D33" s="51"/>
      <c r="E33" s="61">
        <f>Datos!E35*25000</f>
        <v>1836660.0960000006</v>
      </c>
      <c r="F33" s="61"/>
      <c r="G33" s="61">
        <f>Datos!G35*25000</f>
        <v>1983592.9036800007</v>
      </c>
      <c r="H33" s="61"/>
      <c r="I33" s="61">
        <f>Datos!I35*25000</f>
        <v>2142280.3359744009</v>
      </c>
      <c r="J33" s="61"/>
      <c r="K33" s="61">
        <f>Datos!K35*25000</f>
        <v>2313662.762852353</v>
      </c>
      <c r="L33" s="61"/>
      <c r="M33" s="61">
        <f>Datos!M35*25000</f>
        <v>2498755.7838805416</v>
      </c>
      <c r="N33" s="61"/>
    </row>
    <row r="34" spans="1:14" x14ac:dyDescent="0.25">
      <c r="A34" s="11"/>
      <c r="B34" s="52" t="s">
        <v>85</v>
      </c>
      <c r="C34" s="52"/>
      <c r="D34" s="52"/>
      <c r="E34" s="49">
        <f>Datos!E36</f>
        <v>220399.21152000007</v>
      </c>
      <c r="F34" s="49"/>
      <c r="G34" s="49">
        <f>Datos!G36</f>
        <v>238031.14844160009</v>
      </c>
      <c r="H34" s="49"/>
      <c r="I34" s="49">
        <f>Datos!I36</f>
        <v>257073.64031692813</v>
      </c>
      <c r="J34" s="49"/>
      <c r="K34" s="49">
        <f>Datos!K36</f>
        <v>277639.53154228238</v>
      </c>
      <c r="L34" s="49"/>
      <c r="M34" s="49">
        <f>Datos!M36</f>
        <v>299850.69406566501</v>
      </c>
      <c r="N34" s="49"/>
    </row>
    <row r="35" spans="1:14" x14ac:dyDescent="0.25">
      <c r="A35" s="8"/>
      <c r="B35" s="51" t="s">
        <v>86</v>
      </c>
      <c r="C35" s="51"/>
      <c r="D35" s="51"/>
      <c r="E35" s="61">
        <f>Datos!M70</f>
        <v>210252.50000000087</v>
      </c>
      <c r="F35" s="61"/>
      <c r="G35" s="61">
        <f>Datos!C76</f>
        <v>720765.12500000093</v>
      </c>
      <c r="H35" s="61"/>
      <c r="I35" s="61">
        <f>Datos!E76</f>
        <v>1256803.3812500013</v>
      </c>
      <c r="J35" s="61"/>
      <c r="K35" s="61">
        <f>Datos!G76</f>
        <v>1819643.5503125016</v>
      </c>
      <c r="L35" s="61"/>
      <c r="M35" s="61">
        <f>Datos!I76</f>
        <v>2410625.7278281278</v>
      </c>
      <c r="N35" s="61"/>
    </row>
    <row r="36" spans="1:14" ht="15.75" x14ac:dyDescent="0.3">
      <c r="A36" s="60" t="s">
        <v>75</v>
      </c>
      <c r="B36" s="53" t="s">
        <v>87</v>
      </c>
      <c r="C36" s="53"/>
      <c r="D36" s="53"/>
      <c r="E36" s="63">
        <f>SUM(E30:F35)</f>
        <v>11450612.287520003</v>
      </c>
      <c r="F36" s="63"/>
      <c r="G36" s="63">
        <f>SUM(G30:H35)</f>
        <v>12860353.695521604</v>
      </c>
      <c r="H36" s="63"/>
      <c r="I36" s="63">
        <f>SUM(I30:J35)</f>
        <v>14367559.037413334</v>
      </c>
      <c r="J36" s="63"/>
      <c r="K36" s="63">
        <f>SUM(K30:L35)</f>
        <v>15979259.658968901</v>
      </c>
      <c r="L36" s="63"/>
      <c r="M36" s="63">
        <f>SUM(M30:N35)</f>
        <v>17703011.125177041</v>
      </c>
      <c r="N36" s="63"/>
    </row>
    <row r="37" spans="1:14" x14ac:dyDescent="0.25">
      <c r="A37" s="9" t="s">
        <v>75</v>
      </c>
      <c r="B37" s="51" t="s">
        <v>88</v>
      </c>
      <c r="C37" s="51"/>
      <c r="D37" s="51"/>
      <c r="E37" s="61">
        <f>Datos!C9+Datos!C13</f>
        <v>196666.66666666666</v>
      </c>
      <c r="F37" s="61"/>
      <c r="G37" s="61">
        <f>Datos!C9+Datos!C13</f>
        <v>196666.66666666666</v>
      </c>
      <c r="H37" s="61"/>
      <c r="I37" s="61">
        <f>Datos!C9+Datos!C13</f>
        <v>196666.66666666666</v>
      </c>
      <c r="J37" s="61"/>
      <c r="K37" s="61">
        <f>Datos!C9+Datos!C13</f>
        <v>196666.66666666666</v>
      </c>
      <c r="L37" s="61"/>
      <c r="M37" s="61">
        <f>Datos!C9+Datos!C13</f>
        <v>196666.66666666666</v>
      </c>
      <c r="N37" s="61"/>
    </row>
    <row r="38" spans="1:14" ht="15.75" x14ac:dyDescent="0.3">
      <c r="A38" s="60" t="s">
        <v>77</v>
      </c>
      <c r="B38" s="53" t="s">
        <v>79</v>
      </c>
      <c r="C38" s="53"/>
      <c r="D38" s="53"/>
      <c r="E38" s="63">
        <f>E29-(E36+E37)</f>
        <v>10820233.139295289</v>
      </c>
      <c r="F38" s="63"/>
      <c r="G38" s="63">
        <f>G29-(G36+G37)</f>
        <v>11713411.720875589</v>
      </c>
      <c r="H38" s="63"/>
      <c r="I38" s="63">
        <f>I29-(I36+I37)</f>
        <v>12745175.667497907</v>
      </c>
      <c r="J38" s="63"/>
      <c r="K38" s="63">
        <f>K29-(K36+K37)</f>
        <v>13932688.686529081</v>
      </c>
      <c r="L38" s="63"/>
      <c r="M38" s="63">
        <f>M29-(M36+M37)</f>
        <v>15295070.259067819</v>
      </c>
      <c r="N38" s="63"/>
    </row>
    <row r="39" spans="1:14" x14ac:dyDescent="0.25">
      <c r="A39" s="9" t="s">
        <v>75</v>
      </c>
      <c r="B39" s="51" t="s">
        <v>89</v>
      </c>
      <c r="C39" s="51"/>
      <c r="D39" s="51"/>
      <c r="E39" s="61">
        <f>Datos!E37*Datos!C73</f>
        <v>3420678.7162326276</v>
      </c>
      <c r="F39" s="61"/>
      <c r="G39" s="61">
        <f>Datos!G37*25000</f>
        <v>3350239.1015625009</v>
      </c>
      <c r="H39" s="61"/>
      <c r="I39" s="61">
        <f>Datos!C73*Datos!I37</f>
        <v>3771298.2846464729</v>
      </c>
      <c r="J39" s="61"/>
      <c r="K39" s="61">
        <f>Datos!K37*Datos!C73</f>
        <v>3959863.1988787968</v>
      </c>
      <c r="L39" s="61"/>
      <c r="M39" s="61">
        <f>Datos!C73*Datos!M37</f>
        <v>4157856.3588227369</v>
      </c>
      <c r="N39" s="61"/>
    </row>
    <row r="40" spans="1:14" x14ac:dyDescent="0.25">
      <c r="A40" s="11" t="s">
        <v>75</v>
      </c>
      <c r="B40" s="52" t="s">
        <v>80</v>
      </c>
      <c r="C40" s="52"/>
      <c r="D40" s="52"/>
      <c r="E40" s="49">
        <f>Datos!C73*Datos!E38</f>
        <v>6841357.4324652553</v>
      </c>
      <c r="F40" s="49"/>
      <c r="G40" s="49">
        <f>Datos!G38*25000</f>
        <v>6700478.2031250019</v>
      </c>
      <c r="H40" s="49"/>
      <c r="I40" s="49">
        <f>Datos!C73*Datos!I38</f>
        <v>7542596.5692929458</v>
      </c>
      <c r="J40" s="49"/>
      <c r="K40" s="49">
        <f>Datos!C73*Datos!K38</f>
        <v>7919726.3977575935</v>
      </c>
      <c r="L40" s="49"/>
      <c r="M40" s="49">
        <f>Datos!M38*Datos!C73</f>
        <v>8315712.7176454738</v>
      </c>
      <c r="N40" s="49"/>
    </row>
    <row r="41" spans="1:14" ht="15.75" x14ac:dyDescent="0.3">
      <c r="A41" s="59" t="s">
        <v>77</v>
      </c>
      <c r="B41" s="58" t="s">
        <v>90</v>
      </c>
      <c r="C41" s="58"/>
      <c r="D41" s="58"/>
      <c r="E41" s="62">
        <f>E38-(E39+E40)</f>
        <v>558196.9905974064</v>
      </c>
      <c r="F41" s="62"/>
      <c r="G41" s="62">
        <f>G38-(G39+G40)</f>
        <v>1662694.4161880855</v>
      </c>
      <c r="H41" s="62"/>
      <c r="I41" s="62">
        <f>I38-(I39+I40)</f>
        <v>1431280.8135584891</v>
      </c>
      <c r="J41" s="62"/>
      <c r="K41" s="62">
        <f>K38-(K39+K40)</f>
        <v>2053099.089892691</v>
      </c>
      <c r="L41" s="62"/>
      <c r="M41" s="62">
        <f>M38-(M39+M40)</f>
        <v>2821501.1825996079</v>
      </c>
      <c r="N41" s="62"/>
    </row>
    <row r="42" spans="1:14" x14ac:dyDescent="0.25">
      <c r="A42" s="11" t="s">
        <v>75</v>
      </c>
      <c r="B42" s="52" t="s">
        <v>91</v>
      </c>
      <c r="C42" s="52"/>
      <c r="D42" s="52"/>
      <c r="E42" s="49">
        <f>E41*Datos!L10</f>
        <v>167459.09717922192</v>
      </c>
      <c r="F42" s="49"/>
      <c r="G42" s="49">
        <f>G41*Datos!L10</f>
        <v>498808.32485642564</v>
      </c>
      <c r="H42" s="49"/>
      <c r="I42" s="49">
        <f>I41*Datos!L11</f>
        <v>500948.28474547114</v>
      </c>
      <c r="J42" s="49"/>
      <c r="K42" s="49">
        <f>K41*Datos!L11</f>
        <v>718584.6814624418</v>
      </c>
      <c r="L42" s="49"/>
      <c r="M42" s="49">
        <f>M41*Datos!L11</f>
        <v>987525.41390986263</v>
      </c>
      <c r="N42" s="49"/>
    </row>
    <row r="43" spans="1:14" ht="15.75" x14ac:dyDescent="0.3">
      <c r="A43" s="59" t="s">
        <v>77</v>
      </c>
      <c r="B43" s="55" t="s">
        <v>92</v>
      </c>
      <c r="C43" s="55"/>
      <c r="D43" s="55"/>
      <c r="E43" s="62">
        <f>E41-E42</f>
        <v>390737.89341818448</v>
      </c>
      <c r="F43" s="62"/>
      <c r="G43" s="62">
        <f>G41-G42</f>
        <v>1163886.0913316598</v>
      </c>
      <c r="H43" s="62"/>
      <c r="I43" s="62">
        <f>I41-I42</f>
        <v>930332.528813018</v>
      </c>
      <c r="J43" s="62"/>
      <c r="K43" s="62">
        <f>K41-K42</f>
        <v>1334514.4084302492</v>
      </c>
      <c r="L43" s="62"/>
      <c r="M43" s="62">
        <f>M41-M42</f>
        <v>1833975.7686897451</v>
      </c>
      <c r="N43" s="62"/>
    </row>
    <row r="45" spans="1:14" x14ac:dyDescent="0.25">
      <c r="B45" s="1"/>
      <c r="C45" s="1"/>
      <c r="D45" s="1"/>
      <c r="E45" s="1"/>
      <c r="F45" s="1"/>
      <c r="G45" s="1"/>
      <c r="H45" s="1"/>
      <c r="I45" s="1"/>
      <c r="J45" s="1"/>
    </row>
    <row r="46" spans="1:14" x14ac:dyDescent="0.25">
      <c r="B46"/>
      <c r="C46"/>
      <c r="D46"/>
      <c r="E46"/>
      <c r="F46"/>
      <c r="G46"/>
      <c r="H46"/>
      <c r="I46"/>
      <c r="J46"/>
    </row>
    <row r="47" spans="1:14" x14ac:dyDescent="0.25">
      <c r="B47"/>
      <c r="C47"/>
      <c r="D47"/>
      <c r="E47"/>
      <c r="F47"/>
      <c r="G47"/>
      <c r="H47"/>
      <c r="I47"/>
      <c r="J47"/>
    </row>
    <row r="48" spans="1:14" x14ac:dyDescent="0.25">
      <c r="B48"/>
      <c r="C48"/>
      <c r="D48"/>
      <c r="E48"/>
      <c r="F48"/>
      <c r="G48"/>
      <c r="H48"/>
      <c r="I48"/>
      <c r="J48"/>
    </row>
    <row r="49" spans="2:10" x14ac:dyDescent="0.25">
      <c r="B49"/>
      <c r="C49"/>
      <c r="D49"/>
      <c r="E49"/>
      <c r="F49"/>
      <c r="G49"/>
      <c r="H49"/>
      <c r="I49"/>
      <c r="J49"/>
    </row>
    <row r="50" spans="2:10" x14ac:dyDescent="0.25">
      <c r="B50"/>
      <c r="C50"/>
      <c r="D50"/>
      <c r="E50"/>
      <c r="F50"/>
      <c r="G50"/>
      <c r="H50"/>
      <c r="I50"/>
      <c r="J50"/>
    </row>
    <row r="51" spans="2:10" x14ac:dyDescent="0.25">
      <c r="B51"/>
      <c r="C51"/>
      <c r="D51"/>
      <c r="E51"/>
      <c r="F51"/>
      <c r="G51"/>
      <c r="H51"/>
      <c r="I51"/>
      <c r="J51"/>
    </row>
    <row r="52" spans="2:10" x14ac:dyDescent="0.25">
      <c r="B52"/>
      <c r="C52"/>
      <c r="D52"/>
      <c r="E52"/>
      <c r="F52"/>
      <c r="G52"/>
      <c r="H52"/>
      <c r="I52"/>
      <c r="J52"/>
    </row>
    <row r="53" spans="2:10" x14ac:dyDescent="0.25">
      <c r="B53"/>
      <c r="C53"/>
      <c r="D53"/>
      <c r="E53"/>
      <c r="F53"/>
      <c r="G53"/>
      <c r="H53"/>
      <c r="I53"/>
      <c r="J53"/>
    </row>
    <row r="54" spans="2:10" x14ac:dyDescent="0.25">
      <c r="B54"/>
      <c r="C54"/>
      <c r="D54"/>
      <c r="E54"/>
      <c r="F54"/>
      <c r="G54"/>
      <c r="H54"/>
      <c r="I54"/>
      <c r="J54"/>
    </row>
    <row r="55" spans="2:10" x14ac:dyDescent="0.25">
      <c r="B55"/>
      <c r="C55"/>
      <c r="D55"/>
      <c r="E55"/>
      <c r="F55"/>
      <c r="G55"/>
      <c r="H55"/>
      <c r="I55"/>
      <c r="J55"/>
    </row>
  </sheetData>
  <mergeCells count="220">
    <mergeCell ref="E43:F43"/>
    <mergeCell ref="G43:H43"/>
    <mergeCell ref="I43:J43"/>
    <mergeCell ref="K43:L43"/>
    <mergeCell ref="M43:N43"/>
    <mergeCell ref="E42:F42"/>
    <mergeCell ref="G42:H42"/>
    <mergeCell ref="I42:J42"/>
    <mergeCell ref="K42:L42"/>
    <mergeCell ref="M42:N42"/>
    <mergeCell ref="E41:F41"/>
    <mergeCell ref="G41:H41"/>
    <mergeCell ref="I41:J41"/>
    <mergeCell ref="K41:L41"/>
    <mergeCell ref="M41:N41"/>
    <mergeCell ref="E40:F40"/>
    <mergeCell ref="G40:H40"/>
    <mergeCell ref="I40:J40"/>
    <mergeCell ref="K40:L40"/>
    <mergeCell ref="M40:N40"/>
    <mergeCell ref="G38:H38"/>
    <mergeCell ref="I38:J38"/>
    <mergeCell ref="K38:L38"/>
    <mergeCell ref="M38:N38"/>
    <mergeCell ref="E39:F39"/>
    <mergeCell ref="G39:H39"/>
    <mergeCell ref="I39:J39"/>
    <mergeCell ref="K39:L39"/>
    <mergeCell ref="M39:N39"/>
    <mergeCell ref="I36:J36"/>
    <mergeCell ref="K36:L36"/>
    <mergeCell ref="M36:N36"/>
    <mergeCell ref="E37:F37"/>
    <mergeCell ref="G37:H37"/>
    <mergeCell ref="I37:J37"/>
    <mergeCell ref="K37:L37"/>
    <mergeCell ref="M37:N37"/>
    <mergeCell ref="I34:J34"/>
    <mergeCell ref="K34:L34"/>
    <mergeCell ref="M34:N34"/>
    <mergeCell ref="E35:F35"/>
    <mergeCell ref="G35:H35"/>
    <mergeCell ref="I35:J35"/>
    <mergeCell ref="K35:L35"/>
    <mergeCell ref="M35:N35"/>
    <mergeCell ref="I32:J32"/>
    <mergeCell ref="K32:L32"/>
    <mergeCell ref="M32:N32"/>
    <mergeCell ref="E33:F33"/>
    <mergeCell ref="G33:H33"/>
    <mergeCell ref="I33:J33"/>
    <mergeCell ref="K33:L33"/>
    <mergeCell ref="M33:N33"/>
    <mergeCell ref="I30:J30"/>
    <mergeCell ref="K30:L30"/>
    <mergeCell ref="M30:N30"/>
    <mergeCell ref="E31:F31"/>
    <mergeCell ref="G31:H31"/>
    <mergeCell ref="I31:J31"/>
    <mergeCell ref="K31:L31"/>
    <mergeCell ref="M31:N31"/>
    <mergeCell ref="I29:J29"/>
    <mergeCell ref="K27:L27"/>
    <mergeCell ref="K28:L28"/>
    <mergeCell ref="K29:L29"/>
    <mergeCell ref="M27:N27"/>
    <mergeCell ref="M28:N28"/>
    <mergeCell ref="M29:N29"/>
    <mergeCell ref="I26:J26"/>
    <mergeCell ref="K26:L26"/>
    <mergeCell ref="M26:N26"/>
    <mergeCell ref="E27:F27"/>
    <mergeCell ref="E28:F28"/>
    <mergeCell ref="G27:H27"/>
    <mergeCell ref="G28:H28"/>
    <mergeCell ref="I27:J27"/>
    <mergeCell ref="I28:J28"/>
    <mergeCell ref="B41:D41"/>
    <mergeCell ref="B42:D42"/>
    <mergeCell ref="B43:D43"/>
    <mergeCell ref="E26:F26"/>
    <mergeCell ref="G26:H26"/>
    <mergeCell ref="E29:F29"/>
    <mergeCell ref="G29:H29"/>
    <mergeCell ref="E30:F30"/>
    <mergeCell ref="G30:H30"/>
    <mergeCell ref="E32:F32"/>
    <mergeCell ref="G32:H32"/>
    <mergeCell ref="E34:F34"/>
    <mergeCell ref="G34:H34"/>
    <mergeCell ref="E36:F36"/>
    <mergeCell ref="G36:H36"/>
    <mergeCell ref="E38:F38"/>
    <mergeCell ref="B36:D36"/>
    <mergeCell ref="B37:D37"/>
    <mergeCell ref="B38:D38"/>
    <mergeCell ref="B39:D39"/>
    <mergeCell ref="B40:D40"/>
    <mergeCell ref="B31:D31"/>
    <mergeCell ref="B32:D32"/>
    <mergeCell ref="B33:D33"/>
    <mergeCell ref="B34:D34"/>
    <mergeCell ref="B35:D35"/>
    <mergeCell ref="A26:C26"/>
    <mergeCell ref="B27:D27"/>
    <mergeCell ref="B28:D28"/>
    <mergeCell ref="B29:D29"/>
    <mergeCell ref="B30:D30"/>
    <mergeCell ref="M20:N20"/>
    <mergeCell ref="M21:N21"/>
    <mergeCell ref="M22:N22"/>
    <mergeCell ref="M23:N23"/>
    <mergeCell ref="M24:N24"/>
    <mergeCell ref="K21:L21"/>
    <mergeCell ref="K22:L22"/>
    <mergeCell ref="K23:L23"/>
    <mergeCell ref="K24:L24"/>
    <mergeCell ref="M8:N8"/>
    <mergeCell ref="M9:N9"/>
    <mergeCell ref="M10:N10"/>
    <mergeCell ref="M11:N11"/>
    <mergeCell ref="M12:N12"/>
    <mergeCell ref="M13:N13"/>
    <mergeCell ref="M14:N14"/>
    <mergeCell ref="M15:N15"/>
    <mergeCell ref="M16:N16"/>
    <mergeCell ref="M17:N17"/>
    <mergeCell ref="M18:N18"/>
    <mergeCell ref="M19:N19"/>
    <mergeCell ref="I22:J22"/>
    <mergeCell ref="I23:J23"/>
    <mergeCell ref="I24:J24"/>
    <mergeCell ref="K8:L8"/>
    <mergeCell ref="K9:L9"/>
    <mergeCell ref="K10:L10"/>
    <mergeCell ref="K11:L11"/>
    <mergeCell ref="K12:L12"/>
    <mergeCell ref="K13:L13"/>
    <mergeCell ref="K14:L14"/>
    <mergeCell ref="K15:L15"/>
    <mergeCell ref="K16:L16"/>
    <mergeCell ref="K17:L17"/>
    <mergeCell ref="K18:L18"/>
    <mergeCell ref="K19:L19"/>
    <mergeCell ref="K20:L20"/>
    <mergeCell ref="G23:H23"/>
    <mergeCell ref="G24:H24"/>
    <mergeCell ref="I8:J8"/>
    <mergeCell ref="I9:J9"/>
    <mergeCell ref="I10:J10"/>
    <mergeCell ref="I11:J11"/>
    <mergeCell ref="I12:J12"/>
    <mergeCell ref="I13:J13"/>
    <mergeCell ref="I14:J14"/>
    <mergeCell ref="I15:J15"/>
    <mergeCell ref="I16:J16"/>
    <mergeCell ref="I17:J17"/>
    <mergeCell ref="I18:J18"/>
    <mergeCell ref="I19:J19"/>
    <mergeCell ref="I20:J20"/>
    <mergeCell ref="I21:J21"/>
    <mergeCell ref="G18:H18"/>
    <mergeCell ref="G19:H19"/>
    <mergeCell ref="G20:H20"/>
    <mergeCell ref="G21:H21"/>
    <mergeCell ref="G22:H22"/>
    <mergeCell ref="G13:H13"/>
    <mergeCell ref="G14:H14"/>
    <mergeCell ref="G15:H15"/>
    <mergeCell ref="G16:H16"/>
    <mergeCell ref="G17:H17"/>
    <mergeCell ref="G8:H8"/>
    <mergeCell ref="G9:H9"/>
    <mergeCell ref="G10:H10"/>
    <mergeCell ref="G11:H11"/>
    <mergeCell ref="G12:H12"/>
    <mergeCell ref="G7:H7"/>
    <mergeCell ref="I7:J7"/>
    <mergeCell ref="K7:L7"/>
    <mergeCell ref="M7:N7"/>
    <mergeCell ref="A1:N1"/>
    <mergeCell ref="A3:N3"/>
    <mergeCell ref="A4:N4"/>
    <mergeCell ref="A5:N5"/>
    <mergeCell ref="A7:C7"/>
    <mergeCell ref="E7:F7"/>
    <mergeCell ref="E8:F8"/>
    <mergeCell ref="E9:F9"/>
    <mergeCell ref="E10:F10"/>
    <mergeCell ref="E11:F11"/>
    <mergeCell ref="B17:D17"/>
    <mergeCell ref="B8:D8"/>
    <mergeCell ref="B9:D9"/>
    <mergeCell ref="B10:D10"/>
    <mergeCell ref="B11:D11"/>
    <mergeCell ref="B12:D12"/>
    <mergeCell ref="B13:D13"/>
    <mergeCell ref="B14:D14"/>
    <mergeCell ref="B15:D15"/>
    <mergeCell ref="B16:D16"/>
    <mergeCell ref="E20:F20"/>
    <mergeCell ref="B18:D18"/>
    <mergeCell ref="B19:D19"/>
    <mergeCell ref="B20:D20"/>
    <mergeCell ref="B21:D21"/>
    <mergeCell ref="B24:D24"/>
    <mergeCell ref="E24:F24"/>
    <mergeCell ref="E23:F23"/>
    <mergeCell ref="E22:F22"/>
    <mergeCell ref="E21:F21"/>
    <mergeCell ref="B22:D22"/>
    <mergeCell ref="B23:D23"/>
    <mergeCell ref="E13:F13"/>
    <mergeCell ref="E12:F12"/>
    <mergeCell ref="E19:F19"/>
    <mergeCell ref="E18:F18"/>
    <mergeCell ref="E17:F17"/>
    <mergeCell ref="E16:F16"/>
    <mergeCell ref="E15:F15"/>
    <mergeCell ref="E14:F14"/>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B008A-78A6-46F8-B6B1-E2540563DC2B}">
  <dimension ref="A1:N25"/>
  <sheetViews>
    <sheetView showGridLines="0" workbookViewId="0">
      <selection activeCell="L17" sqref="L17"/>
    </sheetView>
  </sheetViews>
  <sheetFormatPr baseColWidth="10" defaultRowHeight="15" x14ac:dyDescent="0.25"/>
  <cols>
    <col min="1" max="16384" width="11.42578125" style="3"/>
  </cols>
  <sheetData>
    <row r="1" spans="1:14" ht="19.5" x14ac:dyDescent="0.35">
      <c r="A1" s="16" t="s">
        <v>93</v>
      </c>
      <c r="B1" s="16"/>
      <c r="C1" s="16"/>
      <c r="D1" s="16"/>
      <c r="E1" s="16"/>
      <c r="F1" s="16"/>
      <c r="G1" s="16"/>
      <c r="H1" s="16"/>
      <c r="I1" s="16"/>
      <c r="J1" s="16"/>
      <c r="K1" s="16"/>
      <c r="L1" s="16"/>
      <c r="M1" s="16"/>
      <c r="N1" s="16"/>
    </row>
    <row r="3" spans="1:14" ht="15.75" x14ac:dyDescent="0.3">
      <c r="A3" s="29" t="s">
        <v>43</v>
      </c>
      <c r="B3" s="29"/>
      <c r="C3" s="29" t="s">
        <v>94</v>
      </c>
      <c r="D3" s="29"/>
      <c r="E3" s="29" t="s">
        <v>78</v>
      </c>
      <c r="F3" s="29"/>
      <c r="G3" s="29" t="s">
        <v>95</v>
      </c>
      <c r="H3" s="29"/>
      <c r="I3" s="29" t="s">
        <v>96</v>
      </c>
      <c r="J3" s="29"/>
    </row>
    <row r="4" spans="1:14" x14ac:dyDescent="0.25">
      <c r="A4" s="21">
        <v>2017</v>
      </c>
      <c r="B4" s="21"/>
      <c r="C4" s="22">
        <f>'Estado de Resultados'!E24</f>
        <v>940183.90804597689</v>
      </c>
      <c r="D4" s="22"/>
      <c r="E4" s="22">
        <f>'Estado de Resultados'!E18:F18</f>
        <v>196666.66666666666</v>
      </c>
      <c r="F4" s="22"/>
      <c r="G4" s="22">
        <f>0</f>
        <v>0</v>
      </c>
      <c r="H4" s="22"/>
      <c r="I4" s="22">
        <f>(C4+E4)-G4</f>
        <v>1136850.5747126436</v>
      </c>
      <c r="J4" s="22"/>
    </row>
    <row r="5" spans="1:14" x14ac:dyDescent="0.25">
      <c r="A5" s="19">
        <v>2018</v>
      </c>
      <c r="B5" s="19"/>
      <c r="C5" s="20">
        <f>'Estado de Resultados'!G24</f>
        <v>928999.42528735602</v>
      </c>
      <c r="D5" s="20"/>
      <c r="E5" s="20">
        <f>'Estado de Resultados'!G18</f>
        <v>196666.66666666666</v>
      </c>
      <c r="F5" s="20"/>
      <c r="G5" s="20">
        <f>IF(I4&lt;0,(-1)*I4,0)</f>
        <v>0</v>
      </c>
      <c r="H5" s="20"/>
      <c r="I5" s="20">
        <f>C5+E5-G5</f>
        <v>1125666.0919540226</v>
      </c>
      <c r="J5" s="20"/>
    </row>
    <row r="6" spans="1:14" x14ac:dyDescent="0.25">
      <c r="A6" s="21">
        <v>2019</v>
      </c>
      <c r="B6" s="21"/>
      <c r="C6" s="22">
        <f>'Estado de Resultados'!I24</f>
        <v>900382.13304597756</v>
      </c>
      <c r="D6" s="22"/>
      <c r="E6" s="22">
        <f>'Estado de Resultados'!I18</f>
        <v>196666.66666666666</v>
      </c>
      <c r="F6" s="22"/>
      <c r="G6" s="22">
        <f>IF(I5&lt;0,(-1)*I5,0)</f>
        <v>0</v>
      </c>
      <c r="H6" s="22"/>
      <c r="I6" s="22">
        <f>C6+E6-G6</f>
        <v>1097048.7997126442</v>
      </c>
      <c r="J6" s="22"/>
    </row>
    <row r="7" spans="1:14" x14ac:dyDescent="0.25">
      <c r="A7" s="19">
        <v>2020</v>
      </c>
      <c r="B7" s="19"/>
      <c r="C7" s="20">
        <f>'Estado de Resultados'!K24</f>
        <v>850353.31374985632</v>
      </c>
      <c r="D7" s="20"/>
      <c r="E7" s="20">
        <f>'Estado de Resultados'!K18</f>
        <v>196666.66666666666</v>
      </c>
      <c r="F7" s="20"/>
      <c r="G7" s="20">
        <f>IF(I6&lt;0,(-1)*I6,0)</f>
        <v>0</v>
      </c>
      <c r="H7" s="20"/>
      <c r="I7" s="20">
        <f>C7+E7-G7</f>
        <v>1047019.9804165229</v>
      </c>
      <c r="J7" s="20"/>
    </row>
    <row r="8" spans="1:14" x14ac:dyDescent="0.25">
      <c r="A8" s="21">
        <v>2021</v>
      </c>
      <c r="B8" s="21"/>
      <c r="C8" s="22">
        <f>'Estado de Resultados'!M24</f>
        <v>774231.96459948411</v>
      </c>
      <c r="D8" s="22"/>
      <c r="E8" s="22">
        <f>'Estado de Resultados'!M18</f>
        <v>196666.66666666666</v>
      </c>
      <c r="F8" s="22"/>
      <c r="G8" s="22">
        <f>IF(I7&lt;0,(-1)*I7,0)</f>
        <v>0</v>
      </c>
      <c r="H8" s="22"/>
      <c r="I8" s="22">
        <f>C8+E8-G8</f>
        <v>970898.63126615074</v>
      </c>
      <c r="J8" s="22"/>
    </row>
    <row r="9" spans="1:14" x14ac:dyDescent="0.25">
      <c r="A9" s="19">
        <v>2022</v>
      </c>
      <c r="B9" s="19"/>
      <c r="C9" s="20">
        <f>'Estado de Resultados'!E43</f>
        <v>390737.89341818448</v>
      </c>
      <c r="D9" s="20"/>
      <c r="E9" s="20">
        <f>'Estado de Resultados'!E37</f>
        <v>196666.66666666666</v>
      </c>
      <c r="F9" s="20"/>
      <c r="G9" s="20">
        <f>IF(I8&lt;0,(-1)*I8,0)</f>
        <v>0</v>
      </c>
      <c r="H9" s="20"/>
      <c r="I9" s="20">
        <f>C9+E9-G9</f>
        <v>587404.56008485111</v>
      </c>
      <c r="J9" s="20"/>
    </row>
    <row r="10" spans="1:14" x14ac:dyDescent="0.25">
      <c r="A10" s="21">
        <v>2023</v>
      </c>
      <c r="B10" s="21"/>
      <c r="C10" s="22">
        <f>'Estado de Resultados'!G43</f>
        <v>1163886.0913316598</v>
      </c>
      <c r="D10" s="22"/>
      <c r="E10" s="22">
        <f>'Estado de Resultados'!G37</f>
        <v>196666.66666666666</v>
      </c>
      <c r="F10" s="22"/>
      <c r="G10" s="22">
        <f>IF(I9&lt;0,(-1)*I9,0)</f>
        <v>0</v>
      </c>
      <c r="H10" s="22"/>
      <c r="I10" s="22">
        <f>C10+E10-G10</f>
        <v>1360552.7579983266</v>
      </c>
      <c r="J10" s="22"/>
    </row>
    <row r="11" spans="1:14" x14ac:dyDescent="0.25">
      <c r="A11" s="19">
        <v>2024</v>
      </c>
      <c r="B11" s="19"/>
      <c r="C11" s="20">
        <f>'Estado de Resultados'!I43</f>
        <v>930332.528813018</v>
      </c>
      <c r="D11" s="20"/>
      <c r="E11" s="20">
        <f>'Estado de Resultados'!I37</f>
        <v>196666.66666666666</v>
      </c>
      <c r="F11" s="20"/>
      <c r="G11" s="20">
        <f>IF(I10&lt;0,I10*-1,0)</f>
        <v>0</v>
      </c>
      <c r="H11" s="20"/>
      <c r="I11" s="20">
        <f>C11+E11-G11</f>
        <v>1126999.1954796847</v>
      </c>
      <c r="J11" s="20"/>
    </row>
    <row r="12" spans="1:14" x14ac:dyDescent="0.25">
      <c r="A12" s="21">
        <v>2025</v>
      </c>
      <c r="B12" s="21"/>
      <c r="C12" s="22">
        <f>'Estado de Resultados'!K43</f>
        <v>1334514.4084302492</v>
      </c>
      <c r="D12" s="22"/>
      <c r="E12" s="22">
        <f>'Estado de Resultados'!K37</f>
        <v>196666.66666666666</v>
      </c>
      <c r="F12" s="22"/>
      <c r="G12" s="22">
        <f>IF(I11&lt;0,I11*-1,0)</f>
        <v>0</v>
      </c>
      <c r="H12" s="22"/>
      <c r="I12" s="22">
        <f>C12+E12-G12</f>
        <v>1531181.0750969159</v>
      </c>
      <c r="J12" s="22"/>
    </row>
    <row r="13" spans="1:14" x14ac:dyDescent="0.25">
      <c r="A13" s="19">
        <v>2026</v>
      </c>
      <c r="B13" s="19"/>
      <c r="C13" s="20">
        <f>'Estado de Resultados'!M43</f>
        <v>1833975.7686897451</v>
      </c>
      <c r="D13" s="20"/>
      <c r="E13" s="20">
        <f>'Estado de Resultados'!M37</f>
        <v>196666.66666666666</v>
      </c>
      <c r="F13" s="20"/>
      <c r="G13" s="20">
        <f>IF(I12&lt;0,-1*I12,0)</f>
        <v>0</v>
      </c>
      <c r="H13" s="20"/>
      <c r="I13" s="20">
        <f>C13+E13-G13</f>
        <v>2030642.4353564119</v>
      </c>
      <c r="J13" s="20"/>
    </row>
    <row r="15" spans="1:14" x14ac:dyDescent="0.25">
      <c r="A15" s="1"/>
      <c r="B15" s="1"/>
      <c r="C15" s="1"/>
      <c r="D15" s="1"/>
      <c r="E15" s="1"/>
      <c r="F15" s="1"/>
      <c r="G15" s="1"/>
      <c r="H15" s="1"/>
      <c r="I15" s="1"/>
    </row>
    <row r="16" spans="1:14" x14ac:dyDescent="0.25">
      <c r="A16"/>
      <c r="B16"/>
      <c r="C16"/>
      <c r="D16"/>
      <c r="E16"/>
      <c r="F16"/>
      <c r="G16"/>
      <c r="H16"/>
      <c r="I16"/>
    </row>
    <row r="17" spans="1:9" x14ac:dyDescent="0.25">
      <c r="A17"/>
      <c r="B17"/>
      <c r="C17"/>
      <c r="D17"/>
      <c r="E17"/>
      <c r="F17"/>
      <c r="G17"/>
      <c r="H17"/>
      <c r="I17"/>
    </row>
    <row r="18" spans="1:9" x14ac:dyDescent="0.25">
      <c r="A18"/>
      <c r="B18"/>
      <c r="C18"/>
      <c r="D18"/>
      <c r="E18"/>
      <c r="F18"/>
      <c r="G18"/>
      <c r="H18"/>
      <c r="I18"/>
    </row>
    <row r="19" spans="1:9" x14ac:dyDescent="0.25">
      <c r="A19"/>
      <c r="B19"/>
      <c r="C19"/>
      <c r="D19"/>
      <c r="E19"/>
      <c r="F19"/>
      <c r="G19"/>
      <c r="H19"/>
      <c r="I19"/>
    </row>
    <row r="20" spans="1:9" x14ac:dyDescent="0.25">
      <c r="A20"/>
      <c r="B20"/>
      <c r="C20"/>
      <c r="D20"/>
      <c r="E20"/>
      <c r="F20"/>
      <c r="G20"/>
      <c r="H20"/>
      <c r="I20"/>
    </row>
    <row r="21" spans="1:9" x14ac:dyDescent="0.25">
      <c r="A21"/>
      <c r="B21"/>
      <c r="C21"/>
      <c r="D21"/>
      <c r="E21"/>
      <c r="F21"/>
      <c r="G21"/>
      <c r="H21"/>
      <c r="I21"/>
    </row>
    <row r="22" spans="1:9" x14ac:dyDescent="0.25">
      <c r="A22"/>
      <c r="B22"/>
      <c r="C22"/>
      <c r="D22"/>
      <c r="E22"/>
      <c r="F22"/>
      <c r="G22"/>
      <c r="H22"/>
      <c r="I22"/>
    </row>
    <row r="23" spans="1:9" x14ac:dyDescent="0.25">
      <c r="A23"/>
      <c r="B23"/>
      <c r="C23"/>
      <c r="D23"/>
      <c r="E23"/>
      <c r="F23"/>
      <c r="G23"/>
      <c r="H23"/>
      <c r="I23"/>
    </row>
    <row r="24" spans="1:9" x14ac:dyDescent="0.25">
      <c r="A24"/>
      <c r="B24"/>
      <c r="C24"/>
      <c r="D24"/>
      <c r="E24"/>
      <c r="F24"/>
      <c r="G24"/>
      <c r="H24"/>
      <c r="I24"/>
    </row>
    <row r="25" spans="1:9" x14ac:dyDescent="0.25">
      <c r="A25"/>
      <c r="B25"/>
      <c r="C25"/>
      <c r="D25"/>
      <c r="E25"/>
      <c r="F25"/>
      <c r="G25"/>
      <c r="H25"/>
      <c r="I25"/>
    </row>
  </sheetData>
  <mergeCells count="56">
    <mergeCell ref="A1:N1"/>
    <mergeCell ref="A3:B3"/>
    <mergeCell ref="C3:D3"/>
    <mergeCell ref="E3:F3"/>
    <mergeCell ref="G3:H3"/>
    <mergeCell ref="I3:J3"/>
    <mergeCell ref="A10:B10"/>
    <mergeCell ref="A11:B11"/>
    <mergeCell ref="A12:B12"/>
    <mergeCell ref="A13:B13"/>
    <mergeCell ref="C4:D4"/>
    <mergeCell ref="C5:D5"/>
    <mergeCell ref="C6:D6"/>
    <mergeCell ref="C7:D7"/>
    <mergeCell ref="C8:D8"/>
    <mergeCell ref="C9:D9"/>
    <mergeCell ref="A4:B4"/>
    <mergeCell ref="A5:B5"/>
    <mergeCell ref="A6:B6"/>
    <mergeCell ref="A7:B7"/>
    <mergeCell ref="A8:B8"/>
    <mergeCell ref="A9:B9"/>
    <mergeCell ref="C10:D10"/>
    <mergeCell ref="C11:D11"/>
    <mergeCell ref="C12:D12"/>
    <mergeCell ref="C13:D13"/>
    <mergeCell ref="E4:F4"/>
    <mergeCell ref="E5:F5"/>
    <mergeCell ref="E6:F6"/>
    <mergeCell ref="E7:F7"/>
    <mergeCell ref="E8:F8"/>
    <mergeCell ref="E9:F9"/>
    <mergeCell ref="G4:H4"/>
    <mergeCell ref="G5:H5"/>
    <mergeCell ref="G6:H6"/>
    <mergeCell ref="G7:H7"/>
    <mergeCell ref="G8:H8"/>
    <mergeCell ref="I9:J9"/>
    <mergeCell ref="E10:F10"/>
    <mergeCell ref="E11:F11"/>
    <mergeCell ref="E12:F12"/>
    <mergeCell ref="E13:F13"/>
    <mergeCell ref="G9:H9"/>
    <mergeCell ref="I4:J4"/>
    <mergeCell ref="I5:J5"/>
    <mergeCell ref="I6:J6"/>
    <mergeCell ref="I7:J7"/>
    <mergeCell ref="I8:J8"/>
    <mergeCell ref="I10:J10"/>
    <mergeCell ref="I11:J11"/>
    <mergeCell ref="I12:J12"/>
    <mergeCell ref="I13:J13"/>
    <mergeCell ref="G10:H10"/>
    <mergeCell ref="G11:H11"/>
    <mergeCell ref="G12:H12"/>
    <mergeCell ref="G13:H13"/>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2CFE9-74C2-4702-A25B-AC18FC8B1FEB}">
  <dimension ref="A1:X47"/>
  <sheetViews>
    <sheetView showGridLines="0" topLeftCell="I25" workbookViewId="0">
      <selection activeCell="S37" sqref="S37"/>
    </sheetView>
  </sheetViews>
  <sheetFormatPr baseColWidth="10" defaultRowHeight="15" x14ac:dyDescent="0.25"/>
  <cols>
    <col min="1" max="16384" width="11.42578125" style="3"/>
  </cols>
  <sheetData>
    <row r="1" spans="1:24" ht="19.5" x14ac:dyDescent="0.35">
      <c r="A1" s="16" t="s">
        <v>97</v>
      </c>
      <c r="B1" s="16"/>
      <c r="C1" s="16"/>
      <c r="D1" s="16"/>
      <c r="E1" s="16"/>
      <c r="F1" s="16"/>
      <c r="G1" s="16"/>
      <c r="H1" s="16"/>
      <c r="I1" s="16"/>
      <c r="J1" s="16"/>
      <c r="K1" s="16"/>
      <c r="L1" s="16"/>
      <c r="M1" s="16"/>
      <c r="N1" s="16"/>
      <c r="O1" s="16"/>
      <c r="P1" s="16"/>
      <c r="Q1" s="16"/>
      <c r="R1" s="16"/>
      <c r="S1" s="16"/>
      <c r="T1" s="16"/>
      <c r="U1" s="16"/>
      <c r="V1" s="16"/>
      <c r="W1" s="16"/>
      <c r="X1" s="16"/>
    </row>
    <row r="3" spans="1:24" ht="15.75" x14ac:dyDescent="0.3">
      <c r="A3" s="15" t="s">
        <v>98</v>
      </c>
      <c r="B3" s="15"/>
      <c r="C3" s="15"/>
      <c r="D3" s="15"/>
      <c r="E3" s="15"/>
      <c r="F3" s="15"/>
      <c r="G3" s="15"/>
      <c r="H3" s="15"/>
      <c r="I3" s="15"/>
      <c r="J3" s="15"/>
      <c r="K3" s="15"/>
      <c r="L3" s="15"/>
      <c r="M3" s="15"/>
      <c r="N3" s="15"/>
      <c r="O3" s="15"/>
      <c r="P3" s="15"/>
      <c r="Q3" s="15"/>
      <c r="R3" s="15"/>
      <c r="S3" s="15"/>
      <c r="T3" s="15"/>
      <c r="U3" s="15"/>
      <c r="V3" s="15"/>
      <c r="W3" s="15"/>
      <c r="X3" s="15"/>
    </row>
    <row r="4" spans="1:24" ht="15.75" x14ac:dyDescent="0.3">
      <c r="A4" s="15" t="s">
        <v>67</v>
      </c>
      <c r="B4" s="15"/>
      <c r="C4" s="15"/>
      <c r="D4" s="15"/>
      <c r="E4" s="15"/>
      <c r="F4" s="15"/>
      <c r="G4" s="15"/>
      <c r="H4" s="15"/>
      <c r="I4" s="15"/>
      <c r="J4" s="15"/>
      <c r="K4" s="15"/>
      <c r="L4" s="15"/>
      <c r="M4" s="15"/>
      <c r="N4" s="15"/>
      <c r="O4" s="15"/>
      <c r="P4" s="15"/>
      <c r="Q4" s="15"/>
      <c r="R4" s="15"/>
      <c r="S4" s="15"/>
      <c r="T4" s="15"/>
      <c r="U4" s="15"/>
      <c r="V4" s="15"/>
      <c r="W4" s="15"/>
      <c r="X4" s="15"/>
    </row>
    <row r="5" spans="1:24" ht="15.75" x14ac:dyDescent="0.3">
      <c r="A5" s="15" t="s">
        <v>128</v>
      </c>
      <c r="B5" s="15"/>
      <c r="C5" s="15"/>
      <c r="D5" s="15"/>
      <c r="E5" s="15"/>
      <c r="F5" s="15"/>
      <c r="G5" s="15"/>
      <c r="H5" s="15"/>
      <c r="I5" s="15"/>
      <c r="J5" s="15"/>
      <c r="K5" s="15"/>
      <c r="L5" s="15"/>
      <c r="M5" s="15"/>
      <c r="N5" s="15"/>
      <c r="O5" s="15"/>
      <c r="P5" s="15"/>
      <c r="Q5" s="15"/>
      <c r="R5" s="15"/>
      <c r="S5" s="15"/>
      <c r="T5" s="15"/>
      <c r="U5" s="15"/>
      <c r="V5" s="15"/>
      <c r="W5" s="15"/>
      <c r="X5" s="15"/>
    </row>
    <row r="6" spans="1:24" ht="15.75" x14ac:dyDescent="0.3">
      <c r="A6" s="15" t="s">
        <v>68</v>
      </c>
      <c r="B6" s="15"/>
      <c r="C6" s="15"/>
      <c r="D6" s="15"/>
      <c r="E6" s="15"/>
      <c r="F6" s="15"/>
      <c r="G6" s="15"/>
      <c r="H6" s="15"/>
      <c r="I6" s="15"/>
      <c r="J6" s="15"/>
      <c r="K6" s="15"/>
      <c r="L6" s="15"/>
      <c r="M6" s="15"/>
      <c r="N6" s="15"/>
      <c r="O6" s="15"/>
      <c r="P6" s="15"/>
      <c r="Q6" s="15"/>
      <c r="R6" s="15"/>
      <c r="S6" s="15"/>
      <c r="T6" s="15"/>
      <c r="U6" s="15"/>
      <c r="V6" s="15"/>
      <c r="W6" s="15"/>
      <c r="X6" s="15"/>
    </row>
    <row r="8" spans="1:24" ht="15.75" x14ac:dyDescent="0.3">
      <c r="A8" s="29" t="s">
        <v>99</v>
      </c>
      <c r="B8" s="29"/>
      <c r="C8" s="29"/>
      <c r="D8" s="29"/>
      <c r="E8" s="29">
        <v>2017</v>
      </c>
      <c r="F8" s="29"/>
      <c r="G8" s="29">
        <v>2018</v>
      </c>
      <c r="H8" s="29"/>
      <c r="I8" s="29">
        <v>2019</v>
      </c>
      <c r="J8" s="29"/>
      <c r="K8" s="29">
        <v>2020</v>
      </c>
      <c r="L8" s="29"/>
      <c r="M8" s="29">
        <v>2021</v>
      </c>
      <c r="N8" s="29"/>
      <c r="O8" s="29">
        <v>2022</v>
      </c>
      <c r="P8" s="29"/>
      <c r="Q8" s="29">
        <v>2023</v>
      </c>
      <c r="R8" s="29"/>
      <c r="S8" s="29">
        <v>2024</v>
      </c>
      <c r="T8" s="29"/>
      <c r="U8" s="29">
        <v>2025</v>
      </c>
      <c r="V8" s="29"/>
      <c r="W8" s="29">
        <v>2026</v>
      </c>
      <c r="X8" s="29"/>
    </row>
    <row r="10" spans="1:24" ht="15.75" x14ac:dyDescent="0.3">
      <c r="A10" s="64" t="s">
        <v>100</v>
      </c>
      <c r="B10" s="64"/>
      <c r="C10" s="64"/>
      <c r="D10" s="64"/>
      <c r="E10" s="64"/>
      <c r="F10" s="64"/>
      <c r="G10" s="64"/>
      <c r="H10" s="64"/>
      <c r="I10" s="64"/>
      <c r="J10" s="64"/>
      <c r="K10" s="64"/>
      <c r="L10" s="64"/>
      <c r="M10" s="64"/>
      <c r="N10" s="64"/>
      <c r="O10" s="64"/>
      <c r="P10" s="64"/>
      <c r="Q10" s="64"/>
      <c r="R10" s="64"/>
      <c r="S10" s="64"/>
      <c r="T10" s="64"/>
      <c r="U10" s="64"/>
      <c r="V10" s="64"/>
      <c r="W10" s="64"/>
      <c r="X10" s="64"/>
    </row>
    <row r="11" spans="1:24" x14ac:dyDescent="0.25">
      <c r="A11" s="21" t="s">
        <v>101</v>
      </c>
      <c r="B11" s="21"/>
      <c r="C11" s="21"/>
      <c r="D11" s="21"/>
      <c r="E11" s="22">
        <f>IF(FNE!I4&gt;0,FNE!I4,0)+Datos!C17</f>
        <v>1336850.5747126436</v>
      </c>
      <c r="F11" s="22"/>
      <c r="G11" s="27">
        <f>IF(FNE!I5&gt;0,FNE!I5,0)+E11</f>
        <v>2462516.666666666</v>
      </c>
      <c r="H11" s="21"/>
      <c r="I11" s="27">
        <f>IF(FNE!I6&gt;0,FNE!I6,0)+G11</f>
        <v>3559565.46637931</v>
      </c>
      <c r="J11" s="21"/>
      <c r="K11" s="22">
        <f>IF(FNE!I7&gt;0,FNE!I7,0)+I11</f>
        <v>4606585.4467958333</v>
      </c>
      <c r="L11" s="22"/>
      <c r="M11" s="22">
        <f>K11+(IF(FNE!I8&gt;0,FNE!I8,0))</f>
        <v>5577484.0780619839</v>
      </c>
      <c r="N11" s="22"/>
      <c r="O11" s="22">
        <f>M11+(IF(FNE!I9&gt;0,FNE!I9,0))</f>
        <v>6164888.6381468354</v>
      </c>
      <c r="P11" s="22"/>
      <c r="Q11" s="27">
        <f>O11+IF(FNE!I10&gt;0,FNE!I10,0)</f>
        <v>7525441.3961451622</v>
      </c>
      <c r="R11" s="21"/>
      <c r="S11" s="27">
        <f>Q11+IF(FNE!I11&gt;0,FNE!I11,0)</f>
        <v>8652440.5916248467</v>
      </c>
      <c r="T11" s="21"/>
      <c r="U11" s="22">
        <f>S11+IF(FNE!I12&gt;0,FNE!I12,0)</f>
        <v>10183621.666721763</v>
      </c>
      <c r="V11" s="22"/>
      <c r="W11" s="22">
        <f>U11+IF(FNE!I13&gt;0,FNE!I13,0)</f>
        <v>12214264.102078175</v>
      </c>
      <c r="X11" s="22"/>
    </row>
    <row r="12" spans="1:24" ht="15.75" x14ac:dyDescent="0.3">
      <c r="A12" s="34" t="s">
        <v>102</v>
      </c>
      <c r="B12" s="34"/>
      <c r="C12" s="34"/>
      <c r="D12" s="34"/>
      <c r="E12" s="65">
        <f>E11</f>
        <v>1336850.5747126436</v>
      </c>
      <c r="F12" s="34"/>
      <c r="G12" s="65">
        <f>G11</f>
        <v>2462516.666666666</v>
      </c>
      <c r="H12" s="34"/>
      <c r="I12" s="65">
        <f>I11</f>
        <v>3559565.46637931</v>
      </c>
      <c r="J12" s="34"/>
      <c r="K12" s="66">
        <f>K11</f>
        <v>4606585.4467958333</v>
      </c>
      <c r="L12" s="66"/>
      <c r="M12" s="66">
        <f>M11</f>
        <v>5577484.0780619839</v>
      </c>
      <c r="N12" s="66"/>
      <c r="O12" s="65">
        <f>O11</f>
        <v>6164888.6381468354</v>
      </c>
      <c r="P12" s="34"/>
      <c r="Q12" s="65">
        <f>Q11</f>
        <v>7525441.3961451622</v>
      </c>
      <c r="R12" s="34"/>
      <c r="S12" s="65">
        <f>S11</f>
        <v>8652440.5916248467</v>
      </c>
      <c r="T12" s="34"/>
      <c r="U12" s="66">
        <f>U11</f>
        <v>10183621.666721763</v>
      </c>
      <c r="V12" s="66"/>
      <c r="W12" s="66">
        <f>W11</f>
        <v>12214264.102078175</v>
      </c>
      <c r="X12" s="66"/>
    </row>
    <row r="14" spans="1:24" ht="15.75" x14ac:dyDescent="0.3">
      <c r="A14" s="64" t="s">
        <v>103</v>
      </c>
      <c r="B14" s="64"/>
      <c r="C14" s="64"/>
      <c r="D14" s="64"/>
      <c r="E14" s="64"/>
      <c r="F14" s="64"/>
      <c r="G14" s="64"/>
      <c r="H14" s="64"/>
      <c r="I14" s="64"/>
      <c r="J14" s="64"/>
      <c r="K14" s="64"/>
      <c r="L14" s="64"/>
      <c r="M14" s="64"/>
      <c r="N14" s="64"/>
      <c r="O14" s="64"/>
      <c r="P14" s="64"/>
      <c r="Q14" s="64"/>
      <c r="R14" s="64"/>
      <c r="S14" s="64"/>
      <c r="T14" s="64"/>
      <c r="U14" s="64"/>
      <c r="V14" s="64"/>
      <c r="W14" s="64"/>
      <c r="X14" s="64"/>
    </row>
    <row r="15" spans="1:24" x14ac:dyDescent="0.25">
      <c r="A15" s="19" t="s">
        <v>104</v>
      </c>
      <c r="B15" s="19"/>
      <c r="C15" s="19"/>
      <c r="D15" s="19"/>
      <c r="E15" s="19"/>
      <c r="F15" s="19"/>
      <c r="G15" s="12"/>
      <c r="H15" s="12"/>
      <c r="I15" s="12"/>
      <c r="J15" s="12"/>
      <c r="K15" s="12"/>
      <c r="L15" s="12"/>
      <c r="M15" s="12"/>
      <c r="N15" s="12"/>
      <c r="O15" s="19"/>
      <c r="P15" s="19"/>
      <c r="Q15" s="12"/>
      <c r="R15" s="12"/>
      <c r="S15" s="12"/>
      <c r="T15" s="12"/>
      <c r="U15" s="12"/>
      <c r="V15" s="12"/>
      <c r="W15" s="12"/>
      <c r="X15" s="12"/>
    </row>
    <row r="16" spans="1:24" x14ac:dyDescent="0.25">
      <c r="A16" s="21" t="s">
        <v>11</v>
      </c>
      <c r="B16" s="21"/>
      <c r="C16" s="21"/>
      <c r="D16" s="21"/>
      <c r="E16" s="27">
        <f>Datos!C6</f>
        <v>100000</v>
      </c>
      <c r="F16" s="21"/>
      <c r="G16" s="27">
        <f>Datos!C6</f>
        <v>100000</v>
      </c>
      <c r="H16" s="21"/>
      <c r="I16" s="27">
        <f>Datos!C6</f>
        <v>100000</v>
      </c>
      <c r="J16" s="21"/>
      <c r="K16" s="22">
        <f>Datos!C6</f>
        <v>100000</v>
      </c>
      <c r="L16" s="22"/>
      <c r="M16" s="22">
        <f>Datos!C6</f>
        <v>100000</v>
      </c>
      <c r="N16" s="22"/>
      <c r="O16" s="27">
        <f>Datos!C6</f>
        <v>100000</v>
      </c>
      <c r="P16" s="21"/>
      <c r="Q16" s="27">
        <f>Datos!C6</f>
        <v>100000</v>
      </c>
      <c r="R16" s="21"/>
      <c r="S16" s="27">
        <f>Datos!C6</f>
        <v>100000</v>
      </c>
      <c r="T16" s="21"/>
      <c r="U16" s="22">
        <f>Datos!C6</f>
        <v>100000</v>
      </c>
      <c r="V16" s="22"/>
      <c r="W16" s="22">
        <f>Datos!C6</f>
        <v>100000</v>
      </c>
      <c r="X16" s="22"/>
    </row>
    <row r="17" spans="1:24" x14ac:dyDescent="0.25">
      <c r="A17" s="19" t="s">
        <v>12</v>
      </c>
      <c r="B17" s="19"/>
      <c r="C17" s="19"/>
      <c r="D17" s="19"/>
      <c r="E17" s="28">
        <f>Datos!C7</f>
        <v>500000</v>
      </c>
      <c r="F17" s="19"/>
      <c r="G17" s="28">
        <f>Datos!C7</f>
        <v>500000</v>
      </c>
      <c r="H17" s="19"/>
      <c r="I17" s="28">
        <f>Datos!C7</f>
        <v>500000</v>
      </c>
      <c r="J17" s="19"/>
      <c r="K17" s="20">
        <f>Datos!C7</f>
        <v>500000</v>
      </c>
      <c r="L17" s="20"/>
      <c r="M17" s="20">
        <f>Datos!C7</f>
        <v>500000</v>
      </c>
      <c r="N17" s="20"/>
      <c r="O17" s="28">
        <f>Datos!C7</f>
        <v>500000</v>
      </c>
      <c r="P17" s="19"/>
      <c r="Q17" s="28">
        <f>Datos!C7</f>
        <v>500000</v>
      </c>
      <c r="R17" s="19"/>
      <c r="S17" s="28">
        <f>Datos!C7</f>
        <v>500000</v>
      </c>
      <c r="T17" s="19"/>
      <c r="U17" s="20">
        <f>Datos!C7</f>
        <v>500000</v>
      </c>
      <c r="V17" s="20"/>
      <c r="W17" s="20">
        <f>Datos!C7</f>
        <v>500000</v>
      </c>
      <c r="X17" s="20"/>
    </row>
    <row r="18" spans="1:24" x14ac:dyDescent="0.25">
      <c r="A18" s="21" t="s">
        <v>88</v>
      </c>
      <c r="B18" s="21"/>
      <c r="C18" s="21"/>
      <c r="D18" s="21"/>
      <c r="E18" s="27">
        <f>Datos!C9</f>
        <v>16666.666666666668</v>
      </c>
      <c r="F18" s="21"/>
      <c r="G18" s="27">
        <f>Datos!C9*2</f>
        <v>33333.333333333336</v>
      </c>
      <c r="H18" s="21"/>
      <c r="I18" s="27">
        <f>Datos!C9*3</f>
        <v>50000</v>
      </c>
      <c r="J18" s="21"/>
      <c r="K18" s="22">
        <f>Datos!C9*4</f>
        <v>66666.666666666672</v>
      </c>
      <c r="L18" s="22"/>
      <c r="M18" s="22">
        <f>Datos!C9*5</f>
        <v>83333.333333333343</v>
      </c>
      <c r="N18" s="22"/>
      <c r="O18" s="27">
        <f>Datos!C9*6</f>
        <v>100000</v>
      </c>
      <c r="P18" s="21"/>
      <c r="Q18" s="27">
        <f>Datos!C9*7</f>
        <v>116666.66666666667</v>
      </c>
      <c r="R18" s="21"/>
      <c r="S18" s="27">
        <f>Datos!C9*8</f>
        <v>133333.33333333334</v>
      </c>
      <c r="T18" s="21"/>
      <c r="U18" s="22">
        <f>Datos!C9*9</f>
        <v>150000</v>
      </c>
      <c r="V18" s="22"/>
      <c r="W18" s="22">
        <f>Datos!C9*10</f>
        <v>166666.66666666669</v>
      </c>
      <c r="X18" s="22"/>
    </row>
    <row r="19" spans="1:24" x14ac:dyDescent="0.25">
      <c r="A19" s="19" t="s">
        <v>105</v>
      </c>
      <c r="B19" s="19"/>
      <c r="C19" s="19"/>
      <c r="D19" s="19"/>
      <c r="E19" s="28">
        <f>Datos!C10</f>
        <v>1000000</v>
      </c>
      <c r="F19" s="19"/>
      <c r="G19" s="28">
        <f>Datos!C10</f>
        <v>1000000</v>
      </c>
      <c r="H19" s="19"/>
      <c r="I19" s="28">
        <f>Datos!C10</f>
        <v>1000000</v>
      </c>
      <c r="J19" s="19"/>
      <c r="K19" s="20">
        <f>Datos!C10</f>
        <v>1000000</v>
      </c>
      <c r="L19" s="20"/>
      <c r="M19" s="20">
        <f>Datos!C10</f>
        <v>1000000</v>
      </c>
      <c r="N19" s="20"/>
      <c r="O19" s="28">
        <f>Datos!C10</f>
        <v>1000000</v>
      </c>
      <c r="P19" s="19"/>
      <c r="Q19" s="28">
        <f>Datos!C10</f>
        <v>1000000</v>
      </c>
      <c r="R19" s="19"/>
      <c r="S19" s="28">
        <f>Datos!C10</f>
        <v>1000000</v>
      </c>
      <c r="T19" s="19"/>
      <c r="U19" s="20">
        <f>Datos!C10</f>
        <v>1000000</v>
      </c>
      <c r="V19" s="20"/>
      <c r="W19" s="20">
        <f>Datos!C10</f>
        <v>1000000</v>
      </c>
      <c r="X19" s="20"/>
    </row>
    <row r="20" spans="1:24" x14ac:dyDescent="0.25">
      <c r="A20" s="21" t="s">
        <v>88</v>
      </c>
      <c r="B20" s="21"/>
      <c r="C20" s="21"/>
      <c r="D20" s="21"/>
      <c r="E20" s="27">
        <f>Datos!C13</f>
        <v>180000</v>
      </c>
      <c r="F20" s="21"/>
      <c r="G20" s="27">
        <f>Datos!C13*2</f>
        <v>360000</v>
      </c>
      <c r="H20" s="21"/>
      <c r="I20" s="27">
        <f>Datos!C13*3</f>
        <v>540000</v>
      </c>
      <c r="J20" s="21"/>
      <c r="K20" s="22">
        <f>Datos!C13*4</f>
        <v>720000</v>
      </c>
      <c r="L20" s="22"/>
      <c r="M20" s="22">
        <f>Datos!C13*5</f>
        <v>900000</v>
      </c>
      <c r="N20" s="22"/>
      <c r="O20" s="27">
        <f>Datos!C13*6</f>
        <v>1080000</v>
      </c>
      <c r="P20" s="21"/>
      <c r="Q20" s="27">
        <f>Datos!C13*7</f>
        <v>1260000</v>
      </c>
      <c r="R20" s="21"/>
      <c r="S20" s="27">
        <f>Datos!C13*8</f>
        <v>1440000</v>
      </c>
      <c r="T20" s="21"/>
      <c r="U20" s="22">
        <f>Datos!C13*9</f>
        <v>1620000</v>
      </c>
      <c r="V20" s="22"/>
      <c r="W20" s="22">
        <f>Datos!C13*10</f>
        <v>1800000</v>
      </c>
      <c r="X20" s="22"/>
    </row>
    <row r="21" spans="1:24" ht="15.75" x14ac:dyDescent="0.3">
      <c r="A21" s="29" t="s">
        <v>106</v>
      </c>
      <c r="B21" s="29"/>
      <c r="C21" s="29"/>
      <c r="D21" s="29"/>
      <c r="E21" s="40">
        <f>(E16+E17+E19)-(E18+E20)</f>
        <v>1403333.3333333333</v>
      </c>
      <c r="F21" s="29"/>
      <c r="G21" s="40">
        <f>(G16+G17+G19)-(G18+G20)</f>
        <v>1206666.6666666667</v>
      </c>
      <c r="H21" s="29"/>
      <c r="I21" s="40">
        <f>(I16+I17+I19)-(I18+I20)</f>
        <v>1010000</v>
      </c>
      <c r="J21" s="29"/>
      <c r="K21" s="67">
        <f>(K16+K17+K19)-(K18+K20)</f>
        <v>813333.33333333337</v>
      </c>
      <c r="L21" s="67"/>
      <c r="M21" s="67">
        <f>(M16+M17+M19)-(M18+M20)</f>
        <v>616666.66666666663</v>
      </c>
      <c r="N21" s="67"/>
      <c r="O21" s="40">
        <f>(O16+O17+O19)-(O18+O20)</f>
        <v>420000</v>
      </c>
      <c r="P21" s="29"/>
      <c r="Q21" s="40">
        <f>(Q16+Q17+Q19)-(Q18+Q20)</f>
        <v>223333.33333333326</v>
      </c>
      <c r="R21" s="29"/>
      <c r="S21" s="40">
        <f>(S16+S17+S19)-(S18+S20)</f>
        <v>26666.666666666744</v>
      </c>
      <c r="T21" s="29"/>
      <c r="U21" s="67">
        <f>(U16+U17+U19)-(U18+U20)</f>
        <v>-170000</v>
      </c>
      <c r="V21" s="67"/>
      <c r="W21" s="67">
        <f>(W16+W17+W19)-(W18+W20)</f>
        <v>-366666.66666666674</v>
      </c>
      <c r="X21" s="67"/>
    </row>
    <row r="22" spans="1:24" x14ac:dyDescent="0.25">
      <c r="A22" s="23"/>
      <c r="B22" s="23"/>
      <c r="C22" s="23"/>
      <c r="D22" s="23"/>
    </row>
    <row r="23" spans="1:24" ht="15.75" x14ac:dyDescent="0.3">
      <c r="A23" s="70" t="s">
        <v>107</v>
      </c>
      <c r="B23" s="70"/>
      <c r="C23" s="70"/>
      <c r="D23" s="70"/>
      <c r="E23" s="71">
        <f>E12+E21</f>
        <v>2740183.9080459769</v>
      </c>
      <c r="F23" s="70"/>
      <c r="G23" s="71">
        <f>G12+G21</f>
        <v>3669183.333333333</v>
      </c>
      <c r="H23" s="70"/>
      <c r="I23" s="71">
        <f>I21+I12</f>
        <v>4569565.46637931</v>
      </c>
      <c r="J23" s="70"/>
      <c r="K23" s="72">
        <f>SUM(K12+K21)</f>
        <v>5419918.7801291663</v>
      </c>
      <c r="L23" s="72"/>
      <c r="M23" s="72">
        <f>M12+M21</f>
        <v>6194150.7447286509</v>
      </c>
      <c r="N23" s="72"/>
      <c r="O23" s="71">
        <f>O12+O21</f>
        <v>6584888.6381468354</v>
      </c>
      <c r="P23" s="70"/>
      <c r="Q23" s="71">
        <f>Q12+Q21</f>
        <v>7748774.7294784952</v>
      </c>
      <c r="R23" s="70"/>
      <c r="S23" s="71">
        <f>S21+S12</f>
        <v>8679107.2582915127</v>
      </c>
      <c r="T23" s="70"/>
      <c r="U23" s="72">
        <f>SUM(U12+U21)</f>
        <v>10013621.666721763</v>
      </c>
      <c r="V23" s="72"/>
      <c r="W23" s="72">
        <f>W12+W21</f>
        <v>11847597.435411509</v>
      </c>
      <c r="X23" s="72"/>
    </row>
    <row r="25" spans="1:24" ht="15.75" x14ac:dyDescent="0.3">
      <c r="A25" s="29" t="s">
        <v>108</v>
      </c>
      <c r="B25" s="29"/>
      <c r="C25" s="29"/>
      <c r="D25" s="29"/>
      <c r="E25" s="29">
        <v>2017</v>
      </c>
      <c r="F25" s="29"/>
      <c r="G25" s="29">
        <v>2018</v>
      </c>
      <c r="H25" s="29"/>
      <c r="I25" s="29">
        <v>2019</v>
      </c>
      <c r="J25" s="29"/>
      <c r="K25" s="29">
        <v>2020</v>
      </c>
      <c r="L25" s="29"/>
      <c r="M25" s="29">
        <v>2021</v>
      </c>
      <c r="N25" s="29"/>
      <c r="O25" s="29">
        <v>2022</v>
      </c>
      <c r="P25" s="29"/>
      <c r="Q25" s="29">
        <v>2023</v>
      </c>
      <c r="R25" s="29"/>
      <c r="S25" s="29">
        <v>2024</v>
      </c>
      <c r="T25" s="29"/>
      <c r="U25" s="29">
        <v>2025</v>
      </c>
      <c r="V25" s="29"/>
      <c r="W25" s="29">
        <v>2026</v>
      </c>
      <c r="X25" s="29"/>
    </row>
    <row r="26" spans="1:24" x14ac:dyDescent="0.25">
      <c r="A26" s="21" t="s">
        <v>95</v>
      </c>
      <c r="B26" s="21"/>
      <c r="C26" s="21"/>
      <c r="D26" s="21"/>
      <c r="E26" s="22">
        <f>IF(FNE!I4&lt;0,(-1)*FNE!I4,0)</f>
        <v>0</v>
      </c>
      <c r="F26" s="22"/>
      <c r="G26" s="22">
        <f>IF(FNE!I5&lt;0,(-1)*FNE!I5,0)</f>
        <v>0</v>
      </c>
      <c r="H26" s="22"/>
      <c r="I26" s="22">
        <f>IF(FNE!I6&lt;0,(-1)*FNE!I6,0)</f>
        <v>0</v>
      </c>
      <c r="J26" s="22"/>
      <c r="K26" s="22">
        <f>IF(FNE!I7&lt;0,(-1)*FNE!I7,0)</f>
        <v>0</v>
      </c>
      <c r="L26" s="22"/>
      <c r="M26" s="22">
        <f>IF(FNE!I8&lt;0,(-1)*FNE!I8,0)</f>
        <v>0</v>
      </c>
      <c r="N26" s="22"/>
      <c r="O26" s="22">
        <f>IF(FNE!I9&lt;0,(-1)*FNE!I9,0)</f>
        <v>0</v>
      </c>
      <c r="P26" s="22"/>
      <c r="Q26" s="22">
        <f>IF(FNE!I10&lt;0,(-1)*FNE!I10,0)</f>
        <v>0</v>
      </c>
      <c r="R26" s="22"/>
      <c r="S26" s="22">
        <f>IF(FNE!I11&lt;0,FNE!I11*-1,0)</f>
        <v>0</v>
      </c>
      <c r="T26" s="22"/>
      <c r="U26" s="22">
        <f>IF(FNE!I12&lt;0,FNE!I12*-1,0)</f>
        <v>0</v>
      </c>
      <c r="V26" s="22"/>
      <c r="W26" s="22">
        <f>IF(FNE!I13&lt;0,FNE!I13*(-1),0)</f>
        <v>0</v>
      </c>
      <c r="X26" s="22"/>
    </row>
    <row r="27" spans="1:24" ht="15.75" x14ac:dyDescent="0.3">
      <c r="A27" s="32" t="s">
        <v>109</v>
      </c>
      <c r="B27" s="32"/>
      <c r="C27" s="32"/>
      <c r="D27" s="32"/>
      <c r="E27" s="68">
        <f>E26</f>
        <v>0</v>
      </c>
      <c r="F27" s="32"/>
      <c r="G27" s="69">
        <f>G26</f>
        <v>0</v>
      </c>
      <c r="H27" s="69"/>
      <c r="I27" s="68">
        <f>I26</f>
        <v>0</v>
      </c>
      <c r="J27" s="32"/>
      <c r="K27" s="69">
        <f>K26</f>
        <v>0</v>
      </c>
      <c r="L27" s="69"/>
      <c r="M27" s="69">
        <f>M26</f>
        <v>0</v>
      </c>
      <c r="N27" s="69"/>
      <c r="O27" s="68">
        <f>O26</f>
        <v>0</v>
      </c>
      <c r="P27" s="32"/>
      <c r="Q27" s="69">
        <f>Q26</f>
        <v>0</v>
      </c>
      <c r="R27" s="69"/>
      <c r="S27" s="68">
        <f>S26</f>
        <v>0</v>
      </c>
      <c r="T27" s="32"/>
      <c r="U27" s="69">
        <f>U26</f>
        <v>0</v>
      </c>
      <c r="V27" s="69"/>
      <c r="W27" s="69">
        <f>W26</f>
        <v>0</v>
      </c>
      <c r="X27" s="69"/>
    </row>
    <row r="29" spans="1:24" ht="15.75" x14ac:dyDescent="0.3">
      <c r="A29" s="29" t="s">
        <v>110</v>
      </c>
      <c r="B29" s="29"/>
      <c r="C29" s="29"/>
      <c r="D29" s="29"/>
      <c r="E29" s="12"/>
      <c r="F29" s="12"/>
      <c r="G29" s="12"/>
      <c r="H29" s="12"/>
      <c r="I29" s="12"/>
      <c r="J29" s="12"/>
      <c r="K29" s="12"/>
      <c r="L29" s="12"/>
      <c r="M29" s="12"/>
      <c r="N29" s="12"/>
      <c r="O29" s="12"/>
      <c r="P29" s="12"/>
      <c r="Q29" s="12"/>
      <c r="R29" s="12"/>
      <c r="S29" s="12"/>
      <c r="T29" s="12"/>
      <c r="U29" s="12"/>
      <c r="V29" s="12"/>
      <c r="W29" s="12"/>
      <c r="X29" s="12"/>
    </row>
    <row r="30" spans="1:24" x14ac:dyDescent="0.25">
      <c r="A30" s="21" t="s">
        <v>111</v>
      </c>
      <c r="B30" s="21"/>
      <c r="C30" s="21"/>
      <c r="D30" s="21"/>
      <c r="E30" s="27">
        <f>Datos!C16</f>
        <v>1800000</v>
      </c>
      <c r="F30" s="21"/>
      <c r="G30" s="27">
        <f>Datos!C16</f>
        <v>1800000</v>
      </c>
      <c r="H30" s="21"/>
      <c r="I30" s="27">
        <f>Datos!C16</f>
        <v>1800000</v>
      </c>
      <c r="J30" s="21"/>
      <c r="K30" s="22">
        <f>Datos!C16</f>
        <v>1800000</v>
      </c>
      <c r="L30" s="22"/>
      <c r="M30" s="22">
        <f>Datos!C16</f>
        <v>1800000</v>
      </c>
      <c r="N30" s="22"/>
      <c r="O30" s="27">
        <f>Datos!C16</f>
        <v>1800000</v>
      </c>
      <c r="P30" s="21"/>
      <c r="Q30" s="27">
        <f>Datos!C16</f>
        <v>1800000</v>
      </c>
      <c r="R30" s="21"/>
      <c r="S30" s="27">
        <f>Datos!C16</f>
        <v>1800000</v>
      </c>
      <c r="T30" s="21"/>
      <c r="U30" s="22">
        <f>Datos!C16</f>
        <v>1800000</v>
      </c>
      <c r="V30" s="22"/>
      <c r="W30" s="22">
        <f>Datos!C16</f>
        <v>1800000</v>
      </c>
      <c r="X30" s="22"/>
    </row>
    <row r="31" spans="1:24" x14ac:dyDescent="0.25">
      <c r="A31" s="19" t="s">
        <v>112</v>
      </c>
      <c r="B31" s="19"/>
      <c r="C31" s="19"/>
      <c r="D31" s="19"/>
      <c r="E31" s="28">
        <f>'Estado de Resultados'!E24:F24</f>
        <v>940183.90804597689</v>
      </c>
      <c r="F31" s="19"/>
      <c r="G31" s="28">
        <f>'Estado de Resultados'!E24+'Estado de Resultados'!G24</f>
        <v>1869183.333333333</v>
      </c>
      <c r="H31" s="19"/>
      <c r="I31" s="28">
        <f>'Estado de Resultados'!I24+'Estado de Resultados'!G24+'Estado de Resultados'!E24</f>
        <v>2769565.4663793105</v>
      </c>
      <c r="J31" s="19"/>
      <c r="K31" s="20">
        <f>I31+'Estado de Resultados'!K24</f>
        <v>3619918.7801291668</v>
      </c>
      <c r="L31" s="20"/>
      <c r="M31" s="20">
        <f>K31+'Estado de Resultados'!M24</f>
        <v>4394150.7447286509</v>
      </c>
      <c r="N31" s="20"/>
      <c r="O31" s="28">
        <f>M31+'Estado de Resultados'!E43</f>
        <v>4784888.6381468354</v>
      </c>
      <c r="P31" s="19"/>
      <c r="Q31" s="28">
        <f>O31+'Estado de Resultados'!G43</f>
        <v>5948774.7294784952</v>
      </c>
      <c r="R31" s="19"/>
      <c r="S31" s="28">
        <f>Q31+'Estado de Resultados'!I43</f>
        <v>6879107.2582915127</v>
      </c>
      <c r="T31" s="19"/>
      <c r="U31" s="20">
        <f>S31+'Estado de Resultados'!K43</f>
        <v>8213621.6667217622</v>
      </c>
      <c r="V31" s="20"/>
      <c r="W31" s="20">
        <f>U31+'Estado de Resultados'!M43</f>
        <v>10047597.435411507</v>
      </c>
      <c r="X31" s="20"/>
    </row>
    <row r="33" spans="1:24" ht="15.75" x14ac:dyDescent="0.3">
      <c r="A33" s="29" t="s">
        <v>122</v>
      </c>
      <c r="B33" s="29"/>
      <c r="C33" s="29"/>
      <c r="D33" s="29"/>
      <c r="E33" s="40">
        <f>E30+E31</f>
        <v>2740183.9080459769</v>
      </c>
      <c r="F33" s="29"/>
      <c r="G33" s="40">
        <f>G30+G31</f>
        <v>3669183.333333333</v>
      </c>
      <c r="H33" s="29"/>
      <c r="I33" s="40">
        <f>I30+I31</f>
        <v>4569565.4663793109</v>
      </c>
      <c r="J33" s="29"/>
      <c r="K33" s="67">
        <f>K30+K31</f>
        <v>5419918.7801291663</v>
      </c>
      <c r="L33" s="67"/>
      <c r="M33" s="67">
        <f>M30+M31</f>
        <v>6194150.7447286509</v>
      </c>
      <c r="N33" s="67"/>
      <c r="O33" s="40">
        <f>O30+O31</f>
        <v>6584888.6381468354</v>
      </c>
      <c r="P33" s="29"/>
      <c r="Q33" s="40">
        <f>Q30+Q31</f>
        <v>7748774.7294784952</v>
      </c>
      <c r="R33" s="29"/>
      <c r="S33" s="40">
        <f>S30+S31</f>
        <v>8679107.2582915127</v>
      </c>
      <c r="T33" s="29"/>
      <c r="U33" s="67">
        <f>U30+U31</f>
        <v>10013621.666721761</v>
      </c>
      <c r="V33" s="67"/>
      <c r="W33" s="67">
        <f>W30+W31</f>
        <v>11847597.435411507</v>
      </c>
      <c r="X33" s="67"/>
    </row>
    <row r="35" spans="1:24" ht="15.75" x14ac:dyDescent="0.3">
      <c r="A35" s="70" t="s">
        <v>113</v>
      </c>
      <c r="B35" s="70"/>
      <c r="C35" s="70"/>
      <c r="D35" s="70"/>
      <c r="E35" s="71">
        <f>E30+E31</f>
        <v>2740183.9080459769</v>
      </c>
      <c r="F35" s="70"/>
      <c r="G35" s="71">
        <f>G33+G27</f>
        <v>3669183.333333333</v>
      </c>
      <c r="H35" s="70"/>
      <c r="I35" s="71">
        <f>I27+I33</f>
        <v>4569565.4663793109</v>
      </c>
      <c r="J35" s="70"/>
      <c r="K35" s="72">
        <f>K27+K33</f>
        <v>5419918.7801291663</v>
      </c>
      <c r="L35" s="72"/>
      <c r="M35" s="72">
        <f>M33+M27</f>
        <v>6194150.7447286509</v>
      </c>
      <c r="N35" s="72"/>
      <c r="O35" s="71">
        <f>O33+O27</f>
        <v>6584888.6381468354</v>
      </c>
      <c r="P35" s="70"/>
      <c r="Q35" s="71">
        <f>Q27+Q30+Q31</f>
        <v>7748774.7294784952</v>
      </c>
      <c r="R35" s="70"/>
      <c r="S35" s="71">
        <f>S27+S33</f>
        <v>8679107.2582915127</v>
      </c>
      <c r="T35" s="70"/>
      <c r="U35" s="72">
        <f>U27+U33</f>
        <v>10013621.666721761</v>
      </c>
      <c r="V35" s="72"/>
      <c r="W35" s="72">
        <f>W33+W27</f>
        <v>11847597.435411507</v>
      </c>
      <c r="X35" s="72"/>
    </row>
    <row r="37" spans="1:24" x14ac:dyDescent="0.25">
      <c r="I37" s="1"/>
      <c r="J37" s="1"/>
      <c r="K37" s="1"/>
      <c r="L37" s="1"/>
      <c r="M37" s="1"/>
      <c r="N37" s="1"/>
      <c r="O37" s="1"/>
      <c r="P37" s="1"/>
      <c r="Q37" s="1"/>
    </row>
    <row r="38" spans="1:24" x14ac:dyDescent="0.25">
      <c r="I38"/>
      <c r="J38"/>
      <c r="K38"/>
      <c r="L38"/>
      <c r="M38"/>
      <c r="N38"/>
      <c r="O38"/>
      <c r="P38"/>
      <c r="Q38"/>
    </row>
    <row r="39" spans="1:24" x14ac:dyDescent="0.25">
      <c r="I39"/>
      <c r="J39"/>
      <c r="K39"/>
      <c r="L39"/>
      <c r="M39"/>
      <c r="N39"/>
      <c r="O39"/>
      <c r="P39"/>
      <c r="Q39"/>
    </row>
    <row r="40" spans="1:24" x14ac:dyDescent="0.25">
      <c r="I40"/>
      <c r="J40"/>
      <c r="K40"/>
      <c r="L40"/>
      <c r="M40"/>
      <c r="N40"/>
      <c r="O40"/>
      <c r="P40"/>
      <c r="Q40"/>
    </row>
    <row r="41" spans="1:24" x14ac:dyDescent="0.25">
      <c r="I41"/>
      <c r="J41"/>
      <c r="K41"/>
      <c r="L41"/>
      <c r="M41"/>
      <c r="N41"/>
      <c r="O41"/>
      <c r="P41"/>
      <c r="Q41"/>
    </row>
    <row r="42" spans="1:24" x14ac:dyDescent="0.25">
      <c r="I42"/>
      <c r="J42"/>
      <c r="K42"/>
      <c r="L42"/>
      <c r="M42"/>
      <c r="N42"/>
      <c r="O42"/>
      <c r="P42"/>
      <c r="Q42"/>
    </row>
    <row r="43" spans="1:24" x14ac:dyDescent="0.25">
      <c r="I43"/>
      <c r="J43"/>
      <c r="K43"/>
      <c r="L43"/>
      <c r="M43"/>
      <c r="N43"/>
      <c r="O43"/>
      <c r="P43"/>
      <c r="Q43"/>
    </row>
    <row r="44" spans="1:24" x14ac:dyDescent="0.25">
      <c r="I44"/>
      <c r="J44"/>
      <c r="K44"/>
      <c r="L44"/>
      <c r="M44"/>
      <c r="N44"/>
      <c r="O44"/>
      <c r="P44"/>
      <c r="Q44"/>
    </row>
    <row r="45" spans="1:24" x14ac:dyDescent="0.25">
      <c r="I45"/>
      <c r="J45"/>
      <c r="K45"/>
      <c r="L45"/>
      <c r="M45"/>
      <c r="N45"/>
      <c r="O45"/>
      <c r="P45"/>
      <c r="Q45"/>
    </row>
    <row r="46" spans="1:24" x14ac:dyDescent="0.25">
      <c r="I46"/>
      <c r="J46"/>
      <c r="K46"/>
      <c r="L46"/>
      <c r="M46"/>
      <c r="N46"/>
      <c r="O46"/>
      <c r="P46"/>
      <c r="Q46"/>
    </row>
    <row r="47" spans="1:24" x14ac:dyDescent="0.25">
      <c r="I47"/>
      <c r="J47"/>
      <c r="K47"/>
      <c r="L47"/>
      <c r="M47"/>
      <c r="N47"/>
      <c r="O47"/>
      <c r="P47"/>
      <c r="Q47"/>
    </row>
  </sheetData>
  <mergeCells count="199">
    <mergeCell ref="W35:X35"/>
    <mergeCell ref="A1:X1"/>
    <mergeCell ref="A3:X3"/>
    <mergeCell ref="A4:X4"/>
    <mergeCell ref="A5:X5"/>
    <mergeCell ref="A6:X6"/>
    <mergeCell ref="A14:X14"/>
    <mergeCell ref="A10:X10"/>
    <mergeCell ref="O35:P35"/>
    <mergeCell ref="Q35:R35"/>
    <mergeCell ref="S35:T35"/>
    <mergeCell ref="U35:V35"/>
    <mergeCell ref="W31:X31"/>
    <mergeCell ref="O33:P33"/>
    <mergeCell ref="Q33:R33"/>
    <mergeCell ref="S33:T33"/>
    <mergeCell ref="U33:V33"/>
    <mergeCell ref="W33:X33"/>
    <mergeCell ref="O31:P31"/>
    <mergeCell ref="Q31:R31"/>
    <mergeCell ref="S31:T31"/>
    <mergeCell ref="U31:V31"/>
    <mergeCell ref="W27:X27"/>
    <mergeCell ref="O30:P30"/>
    <mergeCell ref="Q30:R30"/>
    <mergeCell ref="S30:T30"/>
    <mergeCell ref="U30:V30"/>
    <mergeCell ref="W30:X30"/>
    <mergeCell ref="O27:P27"/>
    <mergeCell ref="Q27:R27"/>
    <mergeCell ref="S27:T27"/>
    <mergeCell ref="U27:V27"/>
    <mergeCell ref="W25:X25"/>
    <mergeCell ref="O26:P26"/>
    <mergeCell ref="Q26:R26"/>
    <mergeCell ref="S26:T26"/>
    <mergeCell ref="U26:V26"/>
    <mergeCell ref="W26:X26"/>
    <mergeCell ref="O25:P25"/>
    <mergeCell ref="Q25:R25"/>
    <mergeCell ref="S25:T25"/>
    <mergeCell ref="U25:V25"/>
    <mergeCell ref="W21:X21"/>
    <mergeCell ref="O23:P23"/>
    <mergeCell ref="Q23:R23"/>
    <mergeCell ref="S23:T23"/>
    <mergeCell ref="U23:V23"/>
    <mergeCell ref="W23:X23"/>
    <mergeCell ref="O21:P21"/>
    <mergeCell ref="Q21:R21"/>
    <mergeCell ref="S21:T21"/>
    <mergeCell ref="U21:V21"/>
    <mergeCell ref="W19:X19"/>
    <mergeCell ref="O20:P20"/>
    <mergeCell ref="Q20:R20"/>
    <mergeCell ref="S20:T20"/>
    <mergeCell ref="U20:V20"/>
    <mergeCell ref="W20:X20"/>
    <mergeCell ref="O19:P19"/>
    <mergeCell ref="Q19:R19"/>
    <mergeCell ref="S19:T19"/>
    <mergeCell ref="U19:V19"/>
    <mergeCell ref="W17:X17"/>
    <mergeCell ref="O18:P18"/>
    <mergeCell ref="Q18:R18"/>
    <mergeCell ref="S18:T18"/>
    <mergeCell ref="U18:V18"/>
    <mergeCell ref="W18:X18"/>
    <mergeCell ref="O17:P17"/>
    <mergeCell ref="Q17:R17"/>
    <mergeCell ref="S17:T17"/>
    <mergeCell ref="U17:V17"/>
    <mergeCell ref="W12:X12"/>
    <mergeCell ref="O15:P15"/>
    <mergeCell ref="O16:P16"/>
    <mergeCell ref="Q16:R16"/>
    <mergeCell ref="S16:T16"/>
    <mergeCell ref="U16:V16"/>
    <mergeCell ref="W16:X16"/>
    <mergeCell ref="O12:P12"/>
    <mergeCell ref="Q12:R12"/>
    <mergeCell ref="S12:T12"/>
    <mergeCell ref="U12:V12"/>
    <mergeCell ref="O11:P11"/>
    <mergeCell ref="Q11:R11"/>
    <mergeCell ref="S11:T11"/>
    <mergeCell ref="U11:V11"/>
    <mergeCell ref="W11:X11"/>
    <mergeCell ref="K35:L35"/>
    <mergeCell ref="M35:N35"/>
    <mergeCell ref="O8:P8"/>
    <mergeCell ref="Q8:R8"/>
    <mergeCell ref="S8:T8"/>
    <mergeCell ref="U8:V8"/>
    <mergeCell ref="W8:X8"/>
    <mergeCell ref="K30:L30"/>
    <mergeCell ref="K31:L31"/>
    <mergeCell ref="M30:N30"/>
    <mergeCell ref="M31:N31"/>
    <mergeCell ref="K33:L33"/>
    <mergeCell ref="M33:N33"/>
    <mergeCell ref="M17:N17"/>
    <mergeCell ref="K23:L23"/>
    <mergeCell ref="M23:N23"/>
    <mergeCell ref="K26:L26"/>
    <mergeCell ref="K27:L27"/>
    <mergeCell ref="M26:N26"/>
    <mergeCell ref="M27:N27"/>
    <mergeCell ref="I35:J35"/>
    <mergeCell ref="K11:L11"/>
    <mergeCell ref="M11:N11"/>
    <mergeCell ref="K12:L12"/>
    <mergeCell ref="M12:N12"/>
    <mergeCell ref="K21:L21"/>
    <mergeCell ref="M21:N21"/>
    <mergeCell ref="K16:L16"/>
    <mergeCell ref="M16:N16"/>
    <mergeCell ref="K17:L17"/>
    <mergeCell ref="K18:L18"/>
    <mergeCell ref="K19:L19"/>
    <mergeCell ref="K20:L20"/>
    <mergeCell ref="M20:N20"/>
    <mergeCell ref="M19:N19"/>
    <mergeCell ref="M18:N18"/>
    <mergeCell ref="I26:J26"/>
    <mergeCell ref="I27:J27"/>
    <mergeCell ref="I30:J30"/>
    <mergeCell ref="I31:J31"/>
    <mergeCell ref="I33:J33"/>
    <mergeCell ref="I16:J16"/>
    <mergeCell ref="I17:J17"/>
    <mergeCell ref="I18:J18"/>
    <mergeCell ref="I19:J19"/>
    <mergeCell ref="I20:J20"/>
    <mergeCell ref="G26:H26"/>
    <mergeCell ref="G27:H27"/>
    <mergeCell ref="G30:H30"/>
    <mergeCell ref="G31:H31"/>
    <mergeCell ref="G35:H35"/>
    <mergeCell ref="G33:H33"/>
    <mergeCell ref="G17:H17"/>
    <mergeCell ref="G18:H18"/>
    <mergeCell ref="G19:H19"/>
    <mergeCell ref="G20:H20"/>
    <mergeCell ref="G21:H21"/>
    <mergeCell ref="A16:D16"/>
    <mergeCell ref="E16:F16"/>
    <mergeCell ref="K8:L8"/>
    <mergeCell ref="M8:N8"/>
    <mergeCell ref="A8:D8"/>
    <mergeCell ref="E11:F11"/>
    <mergeCell ref="A11:D11"/>
    <mergeCell ref="E8:F8"/>
    <mergeCell ref="G8:H8"/>
    <mergeCell ref="I8:J8"/>
    <mergeCell ref="G11:H11"/>
    <mergeCell ref="G12:H12"/>
    <mergeCell ref="G16:H16"/>
    <mergeCell ref="I11:J11"/>
    <mergeCell ref="I12:J12"/>
    <mergeCell ref="A12:D12"/>
    <mergeCell ref="E12:F12"/>
    <mergeCell ref="A15:D15"/>
    <mergeCell ref="E15:F15"/>
    <mergeCell ref="E18:F18"/>
    <mergeCell ref="A23:D23"/>
    <mergeCell ref="E23:F23"/>
    <mergeCell ref="A17:D17"/>
    <mergeCell ref="E17:F17"/>
    <mergeCell ref="A18:D18"/>
    <mergeCell ref="A19:D19"/>
    <mergeCell ref="A20:D20"/>
    <mergeCell ref="A21:D21"/>
    <mergeCell ref="M25:N25"/>
    <mergeCell ref="A22:D22"/>
    <mergeCell ref="E21:F21"/>
    <mergeCell ref="E20:F20"/>
    <mergeCell ref="E19:F19"/>
    <mergeCell ref="G23:H23"/>
    <mergeCell ref="I21:J21"/>
    <mergeCell ref="I23:J23"/>
    <mergeCell ref="A25:D25"/>
    <mergeCell ref="E25:F25"/>
    <mergeCell ref="G25:H25"/>
    <mergeCell ref="I25:J25"/>
    <mergeCell ref="K25:L25"/>
    <mergeCell ref="A31:D31"/>
    <mergeCell ref="E31:F31"/>
    <mergeCell ref="A35:D35"/>
    <mergeCell ref="E35:F35"/>
    <mergeCell ref="A26:D26"/>
    <mergeCell ref="E26:F26"/>
    <mergeCell ref="A27:D27"/>
    <mergeCell ref="E27:F27"/>
    <mergeCell ref="A29:D29"/>
    <mergeCell ref="A30:D30"/>
    <mergeCell ref="E30:F30"/>
    <mergeCell ref="A33:D33"/>
    <mergeCell ref="E33:F33"/>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3C3E39-1223-4B83-A912-0212F11989C6}">
  <dimension ref="A1:V59"/>
  <sheetViews>
    <sheetView showGridLines="0" topLeftCell="A37" workbookViewId="0">
      <selection activeCell="K53" sqref="K53"/>
    </sheetView>
  </sheetViews>
  <sheetFormatPr baseColWidth="10" defaultRowHeight="15" x14ac:dyDescent="0.25"/>
  <cols>
    <col min="1" max="16384" width="11.42578125" style="3"/>
  </cols>
  <sheetData>
    <row r="1" spans="1:22" ht="19.5" x14ac:dyDescent="0.35">
      <c r="A1" s="16" t="s">
        <v>129</v>
      </c>
      <c r="B1" s="16"/>
      <c r="C1" s="16"/>
      <c r="D1" s="16"/>
      <c r="E1" s="16"/>
      <c r="F1" s="16"/>
      <c r="G1" s="16"/>
      <c r="H1" s="16"/>
      <c r="I1" s="16"/>
      <c r="J1" s="16"/>
      <c r="K1" s="16"/>
      <c r="L1" s="16"/>
      <c r="M1" s="16"/>
      <c r="N1" s="16"/>
      <c r="O1" s="16"/>
      <c r="P1" s="16"/>
      <c r="Q1" s="16"/>
      <c r="R1" s="16"/>
      <c r="S1" s="16"/>
      <c r="T1" s="16"/>
      <c r="U1" s="16"/>
      <c r="V1" s="16"/>
    </row>
    <row r="3" spans="1:22" ht="15.75" x14ac:dyDescent="0.3">
      <c r="A3" s="15" t="s">
        <v>43</v>
      </c>
      <c r="B3" s="15"/>
      <c r="C3" s="15" t="s">
        <v>96</v>
      </c>
      <c r="D3" s="15"/>
      <c r="F3" s="29" t="s">
        <v>130</v>
      </c>
      <c r="G3" s="29"/>
      <c r="H3" s="29"/>
      <c r="I3" s="73">
        <v>0.45</v>
      </c>
      <c r="J3" s="12"/>
    </row>
    <row r="4" spans="1:22" ht="15.75" x14ac:dyDescent="0.3">
      <c r="A4" s="48">
        <v>2017</v>
      </c>
      <c r="B4" s="48"/>
      <c r="C4" s="47">
        <f>FNE!I4</f>
        <v>1136850.5747126436</v>
      </c>
      <c r="D4" s="48"/>
      <c r="F4" s="43" t="s">
        <v>131</v>
      </c>
      <c r="G4" s="43"/>
      <c r="H4" s="43"/>
      <c r="I4" s="13">
        <v>10</v>
      </c>
      <c r="J4" s="13" t="s">
        <v>132</v>
      </c>
    </row>
    <row r="5" spans="1:22" ht="15.75" x14ac:dyDescent="0.3">
      <c r="A5" s="46">
        <v>2018</v>
      </c>
      <c r="B5" s="46"/>
      <c r="C5" s="45">
        <f>FNE!I5</f>
        <v>1125666.0919540226</v>
      </c>
      <c r="D5" s="46"/>
      <c r="F5" s="29" t="s">
        <v>134</v>
      </c>
      <c r="G5" s="29"/>
      <c r="H5" s="29"/>
      <c r="I5" s="20">
        <v>1800000</v>
      </c>
      <c r="J5" s="20"/>
    </row>
    <row r="6" spans="1:22" x14ac:dyDescent="0.25">
      <c r="A6" s="48">
        <v>2019</v>
      </c>
      <c r="B6" s="48"/>
      <c r="C6" s="47">
        <f>FNE!I6</f>
        <v>1097048.7997126442</v>
      </c>
      <c r="D6" s="48"/>
    </row>
    <row r="7" spans="1:22" x14ac:dyDescent="0.25">
      <c r="A7" s="46">
        <v>2020</v>
      </c>
      <c r="B7" s="46"/>
      <c r="C7" s="45">
        <f>FNE!I7</f>
        <v>1047019.9804165229</v>
      </c>
      <c r="D7" s="46"/>
    </row>
    <row r="8" spans="1:22" x14ac:dyDescent="0.25">
      <c r="A8" s="48">
        <v>2021</v>
      </c>
      <c r="B8" s="48"/>
      <c r="C8" s="47">
        <f>FNE!I8</f>
        <v>970898.63126615074</v>
      </c>
      <c r="D8" s="48"/>
    </row>
    <row r="9" spans="1:22" x14ac:dyDescent="0.25">
      <c r="A9" s="46">
        <v>2022</v>
      </c>
      <c r="B9" s="46"/>
      <c r="C9" s="45">
        <f>FNE!I9</f>
        <v>587404.56008485111</v>
      </c>
      <c r="D9" s="46"/>
    </row>
    <row r="10" spans="1:22" x14ac:dyDescent="0.25">
      <c r="A10" s="48">
        <v>2023</v>
      </c>
      <c r="B10" s="48"/>
      <c r="C10" s="47">
        <f>FNE!I10</f>
        <v>1360552.7579983266</v>
      </c>
      <c r="D10" s="48"/>
    </row>
    <row r="11" spans="1:22" x14ac:dyDescent="0.25">
      <c r="A11" s="46">
        <v>2024</v>
      </c>
      <c r="B11" s="46"/>
      <c r="C11" s="45">
        <f>FNE!I11</f>
        <v>1126999.1954796847</v>
      </c>
      <c r="D11" s="46"/>
    </row>
    <row r="12" spans="1:22" x14ac:dyDescent="0.25">
      <c r="A12" s="48">
        <v>2025</v>
      </c>
      <c r="B12" s="48"/>
      <c r="C12" s="47">
        <f>FNE!I12</f>
        <v>1531181.0750969159</v>
      </c>
      <c r="D12" s="48"/>
    </row>
    <row r="13" spans="1:22" x14ac:dyDescent="0.25">
      <c r="A13" s="46">
        <v>2026</v>
      </c>
      <c r="B13" s="46"/>
      <c r="C13" s="45">
        <f>FNE!I13</f>
        <v>2030642.4353564119</v>
      </c>
      <c r="D13" s="46"/>
    </row>
    <row r="15" spans="1:22" ht="15.75" x14ac:dyDescent="0.3">
      <c r="A15" s="15" t="s">
        <v>138</v>
      </c>
      <c r="B15" s="15"/>
      <c r="C15" s="15"/>
      <c r="D15" s="15"/>
      <c r="E15" s="15"/>
      <c r="F15" s="15"/>
      <c r="G15" s="15"/>
      <c r="H15" s="15"/>
      <c r="I15" s="15"/>
      <c r="J15" s="15"/>
      <c r="K15" s="15"/>
      <c r="L15" s="15"/>
      <c r="M15" s="15"/>
      <c r="N15" s="15"/>
      <c r="O15" s="15"/>
      <c r="P15" s="15"/>
      <c r="Q15" s="15"/>
      <c r="R15" s="15"/>
      <c r="S15" s="15"/>
      <c r="T15" s="15"/>
      <c r="U15" s="15"/>
      <c r="V15" s="15"/>
    </row>
    <row r="17" spans="1:22" ht="15.75" x14ac:dyDescent="0.3">
      <c r="A17" s="29" t="s">
        <v>43</v>
      </c>
      <c r="B17" s="29"/>
      <c r="C17" s="29">
        <v>2017</v>
      </c>
      <c r="D17" s="29"/>
      <c r="E17" s="29">
        <v>2018</v>
      </c>
      <c r="F17" s="29"/>
      <c r="G17" s="29">
        <v>2019</v>
      </c>
      <c r="H17" s="29"/>
      <c r="I17" s="29">
        <v>2020</v>
      </c>
      <c r="J17" s="29"/>
      <c r="K17" s="29">
        <v>2021</v>
      </c>
      <c r="L17" s="29"/>
      <c r="M17" s="29">
        <v>2022</v>
      </c>
      <c r="N17" s="29"/>
      <c r="O17" s="29">
        <v>2023</v>
      </c>
      <c r="P17" s="29"/>
      <c r="Q17" s="29">
        <v>2024</v>
      </c>
      <c r="R17" s="29"/>
      <c r="S17" s="29">
        <v>2025</v>
      </c>
      <c r="T17" s="29"/>
      <c r="U17" s="29">
        <v>2026</v>
      </c>
      <c r="V17" s="29"/>
    </row>
    <row r="18" spans="1:22" ht="15.75" x14ac:dyDescent="0.3">
      <c r="A18" s="43" t="s">
        <v>96</v>
      </c>
      <c r="B18" s="43"/>
      <c r="C18" s="27">
        <f>C4</f>
        <v>1136850.5747126436</v>
      </c>
      <c r="D18" s="21"/>
      <c r="E18" s="27">
        <f>C5</f>
        <v>1125666.0919540226</v>
      </c>
      <c r="F18" s="21"/>
      <c r="G18" s="27">
        <f>C6</f>
        <v>1097048.7997126442</v>
      </c>
      <c r="H18" s="21"/>
      <c r="I18" s="27">
        <f>C7</f>
        <v>1047019.9804165229</v>
      </c>
      <c r="J18" s="21"/>
      <c r="K18" s="27">
        <f>C8</f>
        <v>970898.63126615074</v>
      </c>
      <c r="L18" s="21"/>
      <c r="M18" s="27">
        <f>C9</f>
        <v>587404.56008485111</v>
      </c>
      <c r="N18" s="21"/>
      <c r="O18" s="27">
        <f>C10</f>
        <v>1360552.7579983266</v>
      </c>
      <c r="P18" s="21"/>
      <c r="Q18" s="27">
        <f>C11</f>
        <v>1126999.1954796847</v>
      </c>
      <c r="R18" s="21"/>
      <c r="S18" s="27">
        <f>C12</f>
        <v>1531181.0750969159</v>
      </c>
      <c r="T18" s="21"/>
      <c r="U18" s="27">
        <f>C13</f>
        <v>2030642.4353564119</v>
      </c>
      <c r="V18" s="21"/>
    </row>
    <row r="19" spans="1:22" ht="15.75" x14ac:dyDescent="0.3">
      <c r="A19" s="29" t="s">
        <v>133</v>
      </c>
      <c r="B19" s="29"/>
      <c r="C19" s="28">
        <f>C18</f>
        <v>1136850.5747126436</v>
      </c>
      <c r="D19" s="19"/>
      <c r="E19" s="28">
        <f>C19+E18</f>
        <v>2262516.666666666</v>
      </c>
      <c r="F19" s="19"/>
      <c r="G19" s="28">
        <f>E19+G18</f>
        <v>3359565.46637931</v>
      </c>
      <c r="H19" s="19"/>
      <c r="I19" s="28">
        <f>G19+I18</f>
        <v>4406585.4467958333</v>
      </c>
      <c r="J19" s="19"/>
      <c r="K19" s="28">
        <f>I19+K18</f>
        <v>5377484.0780619839</v>
      </c>
      <c r="L19" s="19"/>
      <c r="M19" s="28">
        <f>K19+M18</f>
        <v>5964888.6381468354</v>
      </c>
      <c r="N19" s="19"/>
      <c r="O19" s="28">
        <f>M19+O18</f>
        <v>7325441.3961451622</v>
      </c>
      <c r="P19" s="19"/>
      <c r="Q19" s="28">
        <f>O19+Q18</f>
        <v>8452440.5916248467</v>
      </c>
      <c r="R19" s="19"/>
      <c r="S19" s="28">
        <f>Q19+S18</f>
        <v>9983621.6667217631</v>
      </c>
      <c r="T19" s="19"/>
      <c r="U19" s="28">
        <f>S19+U18</f>
        <v>12014264.102078175</v>
      </c>
      <c r="V19" s="19"/>
    </row>
    <row r="21" spans="1:22" ht="15.75" x14ac:dyDescent="0.3">
      <c r="A21" s="29" t="s">
        <v>135</v>
      </c>
      <c r="B21" s="29"/>
      <c r="C21" s="29" t="s">
        <v>136</v>
      </c>
      <c r="D21" s="29"/>
      <c r="E21" s="29" t="s">
        <v>137</v>
      </c>
      <c r="F21" s="29"/>
    </row>
    <row r="22" spans="1:22" x14ac:dyDescent="0.25">
      <c r="A22" s="24">
        <f>(I5-C19)/E18</f>
        <v>0.58911735018704148</v>
      </c>
      <c r="B22" s="24"/>
      <c r="C22" s="24">
        <f>A22*12</f>
        <v>7.0694082022444977</v>
      </c>
      <c r="D22" s="24"/>
      <c r="E22" s="24">
        <f>(C22-7)*30</f>
        <v>2.0822460673349319</v>
      </c>
      <c r="F22" s="24"/>
    </row>
    <row r="24" spans="1:22" ht="15.75" x14ac:dyDescent="0.3">
      <c r="A24" s="15" t="s">
        <v>139</v>
      </c>
      <c r="B24" s="15"/>
      <c r="C24" s="15"/>
      <c r="D24" s="15"/>
      <c r="E24" s="15"/>
      <c r="F24" s="15"/>
      <c r="G24" s="15"/>
      <c r="H24" s="15"/>
      <c r="I24" s="15"/>
      <c r="J24" s="15"/>
      <c r="K24" s="15"/>
      <c r="L24" s="15"/>
      <c r="M24" s="15"/>
      <c r="N24" s="15"/>
      <c r="O24" s="15"/>
      <c r="P24" s="15"/>
      <c r="Q24" s="15"/>
      <c r="R24" s="15"/>
      <c r="S24" s="15"/>
      <c r="T24" s="15"/>
      <c r="U24" s="15"/>
      <c r="V24" s="15"/>
    </row>
    <row r="26" spans="1:22" ht="15.75" x14ac:dyDescent="0.3">
      <c r="A26" s="29" t="s">
        <v>43</v>
      </c>
      <c r="B26" s="29"/>
      <c r="C26" s="29">
        <v>2017</v>
      </c>
      <c r="D26" s="29"/>
      <c r="E26" s="29">
        <v>2018</v>
      </c>
      <c r="F26" s="29"/>
      <c r="G26" s="29">
        <v>2019</v>
      </c>
      <c r="H26" s="29"/>
      <c r="I26" s="29">
        <v>2020</v>
      </c>
      <c r="J26" s="29"/>
      <c r="K26" s="29">
        <v>2021</v>
      </c>
      <c r="L26" s="29"/>
      <c r="M26" s="29">
        <v>2022</v>
      </c>
      <c r="N26" s="29"/>
      <c r="O26" s="29">
        <v>2023</v>
      </c>
      <c r="P26" s="29"/>
      <c r="Q26" s="29">
        <v>2024</v>
      </c>
      <c r="R26" s="29"/>
      <c r="S26" s="29">
        <v>2025</v>
      </c>
      <c r="T26" s="29"/>
      <c r="U26" s="29">
        <v>2026</v>
      </c>
      <c r="V26" s="29"/>
    </row>
    <row r="27" spans="1:22" ht="15.75" x14ac:dyDescent="0.3">
      <c r="A27" s="43" t="s">
        <v>96</v>
      </c>
      <c r="B27" s="43"/>
      <c r="C27" s="27">
        <f>C4</f>
        <v>1136850.5747126436</v>
      </c>
      <c r="D27" s="21"/>
      <c r="E27" s="27">
        <f>C5</f>
        <v>1125666.0919540226</v>
      </c>
      <c r="F27" s="21"/>
      <c r="G27" s="27">
        <f>C6</f>
        <v>1097048.7997126442</v>
      </c>
      <c r="H27" s="21"/>
      <c r="I27" s="27">
        <f>C7</f>
        <v>1047019.9804165229</v>
      </c>
      <c r="J27" s="21"/>
      <c r="K27" s="27">
        <f>C8</f>
        <v>970898.63126615074</v>
      </c>
      <c r="L27" s="21"/>
      <c r="M27" s="27">
        <f>C9</f>
        <v>587404.56008485111</v>
      </c>
      <c r="N27" s="21"/>
      <c r="O27" s="27">
        <f>C10</f>
        <v>1360552.7579983266</v>
      </c>
      <c r="P27" s="21"/>
      <c r="Q27" s="27">
        <f>C11</f>
        <v>1126999.1954796847</v>
      </c>
      <c r="R27" s="21"/>
      <c r="S27" s="27">
        <f>C12</f>
        <v>1531181.0750969159</v>
      </c>
      <c r="T27" s="21"/>
      <c r="U27" s="27">
        <f>C13</f>
        <v>2030642.4353564119</v>
      </c>
      <c r="V27" s="21"/>
    </row>
    <row r="28" spans="1:22" ht="15.75" x14ac:dyDescent="0.3">
      <c r="A28" s="29" t="s">
        <v>140</v>
      </c>
      <c r="B28" s="29"/>
      <c r="C28" s="28">
        <f>C27/(1+$I$3)</f>
        <v>784034.8791121681</v>
      </c>
      <c r="D28" s="19"/>
      <c r="E28" s="28">
        <f>E27/(1+I3)^2</f>
        <v>535394.09843235323</v>
      </c>
      <c r="F28" s="19"/>
      <c r="G28" s="28">
        <f>G27/(1+I3)^3</f>
        <v>359850.35867403966</v>
      </c>
      <c r="H28" s="19"/>
      <c r="I28" s="28">
        <f>I27/(1+I3)^4</f>
        <v>236855.22001388937</v>
      </c>
      <c r="J28" s="19"/>
      <c r="K28" s="28">
        <f>K27/(1+I3)^5</f>
        <v>151472.52940591885</v>
      </c>
      <c r="L28" s="19"/>
      <c r="M28" s="28">
        <f>M27/(1+I3)^6</f>
        <v>63201.77860919894</v>
      </c>
      <c r="N28" s="19"/>
      <c r="O28" s="28">
        <f>O27/(1+I3)^7</f>
        <v>100957.68219098702</v>
      </c>
      <c r="P28" s="19"/>
      <c r="Q28" s="28">
        <f>Q27/(1+I3)^8</f>
        <v>57673.935598073374</v>
      </c>
      <c r="R28" s="19"/>
      <c r="S28" s="28">
        <f>S27/(1+I3)^9</f>
        <v>54039.899491854412</v>
      </c>
      <c r="T28" s="19"/>
      <c r="U28" s="28">
        <f>U27/(1+I3)^10</f>
        <v>49425.769019787673</v>
      </c>
      <c r="V28" s="19"/>
    </row>
    <row r="29" spans="1:22" ht="15.75" x14ac:dyDescent="0.3">
      <c r="A29" s="43" t="s">
        <v>141</v>
      </c>
      <c r="B29" s="21"/>
      <c r="C29" s="27">
        <f>C28</f>
        <v>784034.8791121681</v>
      </c>
      <c r="D29" s="21"/>
      <c r="E29" s="27">
        <f>C29+E28</f>
        <v>1319428.9775445214</v>
      </c>
      <c r="F29" s="21"/>
      <c r="G29" s="27">
        <f>E29+G28</f>
        <v>1679279.336218561</v>
      </c>
      <c r="H29" s="21"/>
      <c r="I29" s="27">
        <f>G29+I28</f>
        <v>1916134.5562324505</v>
      </c>
      <c r="J29" s="21"/>
      <c r="K29" s="27">
        <f>I29+K28</f>
        <v>2067607.0856383694</v>
      </c>
      <c r="L29" s="21"/>
      <c r="M29" s="27">
        <f>K29+M28</f>
        <v>2130808.8642475684</v>
      </c>
      <c r="N29" s="21"/>
      <c r="O29" s="27">
        <f>M29+O28</f>
        <v>2231766.5464385552</v>
      </c>
      <c r="P29" s="21"/>
      <c r="Q29" s="27">
        <f>O29+Q28</f>
        <v>2289440.4820366288</v>
      </c>
      <c r="R29" s="21"/>
      <c r="S29" s="27">
        <f>Q29+S28</f>
        <v>2343480.3815284832</v>
      </c>
      <c r="T29" s="21"/>
      <c r="U29" s="27">
        <f>S29+U28</f>
        <v>2392906.1505482709</v>
      </c>
      <c r="V29" s="21"/>
    </row>
    <row r="31" spans="1:22" ht="15.75" x14ac:dyDescent="0.3">
      <c r="A31" s="29" t="s">
        <v>135</v>
      </c>
      <c r="B31" s="29"/>
      <c r="C31" s="29" t="s">
        <v>136</v>
      </c>
      <c r="D31" s="29"/>
      <c r="E31" s="29" t="s">
        <v>137</v>
      </c>
      <c r="F31" s="29"/>
    </row>
    <row r="32" spans="1:22" x14ac:dyDescent="0.25">
      <c r="A32" s="24">
        <f>(I5-G29)/I29</f>
        <v>6.3002184992061727E-2</v>
      </c>
      <c r="B32" s="24"/>
      <c r="C32" s="24">
        <f>A32*12</f>
        <v>0.75602621990474073</v>
      </c>
      <c r="D32" s="24"/>
      <c r="E32" s="24">
        <f>(C32)*30</f>
        <v>22.680786597142223</v>
      </c>
      <c r="F32" s="24"/>
    </row>
    <row r="34" spans="1:22" ht="15.75" x14ac:dyDescent="0.3">
      <c r="A34" s="15" t="s">
        <v>142</v>
      </c>
      <c r="B34" s="15"/>
      <c r="C34" s="15"/>
      <c r="D34" s="15"/>
      <c r="E34" s="15"/>
      <c r="F34" s="15"/>
      <c r="G34" s="15"/>
      <c r="H34" s="15"/>
      <c r="I34" s="15"/>
      <c r="J34" s="15"/>
      <c r="K34" s="15"/>
      <c r="L34" s="15"/>
      <c r="M34" s="15"/>
      <c r="N34" s="15"/>
      <c r="O34" s="15"/>
      <c r="P34" s="15"/>
      <c r="Q34" s="15"/>
      <c r="R34" s="15"/>
      <c r="S34" s="15"/>
      <c r="T34" s="15"/>
      <c r="U34" s="15"/>
      <c r="V34" s="15"/>
    </row>
    <row r="36" spans="1:22" x14ac:dyDescent="0.25">
      <c r="A36" s="74" t="s">
        <v>143</v>
      </c>
      <c r="B36" s="74"/>
      <c r="C36" s="75">
        <f>U19/I4</f>
        <v>1201426.4102078176</v>
      </c>
      <c r="D36" s="76"/>
      <c r="E36" s="77" t="s">
        <v>77</v>
      </c>
      <c r="F36" s="78">
        <f>C36/C37</f>
        <v>0.66745911678212089</v>
      </c>
      <c r="G36" s="78"/>
    </row>
    <row r="37" spans="1:22" x14ac:dyDescent="0.25">
      <c r="A37" s="74"/>
      <c r="B37" s="74"/>
      <c r="C37" s="75">
        <f>I5</f>
        <v>1800000</v>
      </c>
      <c r="D37" s="76"/>
      <c r="E37" s="74"/>
      <c r="F37" s="78"/>
      <c r="G37" s="78"/>
    </row>
    <row r="39" spans="1:22" ht="15.75" x14ac:dyDescent="0.3">
      <c r="A39" s="15" t="s">
        <v>144</v>
      </c>
      <c r="B39" s="15"/>
      <c r="C39" s="15"/>
      <c r="D39" s="15"/>
      <c r="E39" s="15"/>
      <c r="F39" s="15"/>
      <c r="G39" s="15"/>
      <c r="H39" s="15"/>
      <c r="I39" s="15"/>
      <c r="J39" s="15"/>
      <c r="K39" s="15"/>
      <c r="L39" s="15"/>
      <c r="M39" s="15"/>
      <c r="N39" s="15"/>
      <c r="O39" s="15"/>
      <c r="P39" s="15"/>
      <c r="Q39" s="15"/>
      <c r="R39" s="15"/>
      <c r="S39" s="15"/>
      <c r="T39" s="15"/>
      <c r="U39" s="15"/>
      <c r="V39" s="15"/>
    </row>
    <row r="41" spans="1:22" x14ac:dyDescent="0.25">
      <c r="A41" s="74" t="s">
        <v>145</v>
      </c>
      <c r="B41" s="74"/>
      <c r="C41" s="75">
        <f>U19</f>
        <v>12014264.102078175</v>
      </c>
      <c r="D41" s="76"/>
      <c r="E41" s="77" t="s">
        <v>77</v>
      </c>
      <c r="F41" s="78">
        <f>C41/C42</f>
        <v>6.6745911678212089</v>
      </c>
      <c r="G41" s="78"/>
    </row>
    <row r="42" spans="1:22" x14ac:dyDescent="0.25">
      <c r="A42" s="74"/>
      <c r="B42" s="74"/>
      <c r="C42" s="75">
        <f>I5</f>
        <v>1800000</v>
      </c>
      <c r="D42" s="76"/>
      <c r="E42" s="74"/>
      <c r="F42" s="78"/>
      <c r="G42" s="78"/>
    </row>
    <row r="44" spans="1:22" ht="15.75" x14ac:dyDescent="0.3">
      <c r="A44" s="15" t="s">
        <v>146</v>
      </c>
      <c r="B44" s="15"/>
      <c r="C44" s="15"/>
      <c r="D44" s="15"/>
      <c r="E44" s="15"/>
      <c r="F44" s="15"/>
      <c r="G44" s="15"/>
      <c r="H44" s="15"/>
      <c r="I44" s="15"/>
      <c r="J44" s="15"/>
      <c r="K44" s="15"/>
      <c r="L44" s="15"/>
      <c r="M44" s="15"/>
      <c r="N44" s="15"/>
      <c r="O44" s="15"/>
      <c r="P44" s="15"/>
      <c r="Q44" s="15"/>
      <c r="R44" s="15"/>
      <c r="S44" s="15"/>
      <c r="T44" s="15"/>
      <c r="U44" s="15"/>
      <c r="V44" s="15"/>
    </row>
    <row r="46" spans="1:22" ht="15.75" x14ac:dyDescent="0.3">
      <c r="A46" s="79" t="s">
        <v>141</v>
      </c>
      <c r="B46" s="79"/>
      <c r="C46" s="75">
        <f>U29</f>
        <v>2392906.1505482709</v>
      </c>
      <c r="D46" s="76"/>
    </row>
    <row r="47" spans="1:22" ht="15.75" x14ac:dyDescent="0.3">
      <c r="A47" s="79" t="s">
        <v>140</v>
      </c>
      <c r="B47" s="79"/>
      <c r="C47" s="75">
        <f>C46-I5</f>
        <v>592906.1505482709</v>
      </c>
      <c r="D47" s="76"/>
    </row>
    <row r="49" spans="1:9" x14ac:dyDescent="0.25">
      <c r="A49" s="1"/>
      <c r="B49" s="1"/>
      <c r="C49" s="1"/>
      <c r="D49" s="1"/>
      <c r="E49" s="1"/>
      <c r="F49" s="1"/>
      <c r="G49" s="1"/>
      <c r="H49" s="1"/>
      <c r="I49" s="1"/>
    </row>
    <row r="50" spans="1:9" x14ac:dyDescent="0.25">
      <c r="A50"/>
      <c r="B50"/>
      <c r="C50"/>
      <c r="D50"/>
      <c r="E50"/>
      <c r="F50"/>
      <c r="G50"/>
      <c r="H50"/>
      <c r="I50"/>
    </row>
    <row r="51" spans="1:9" x14ac:dyDescent="0.25">
      <c r="A51"/>
      <c r="B51"/>
      <c r="C51"/>
      <c r="D51"/>
      <c r="E51"/>
      <c r="F51"/>
      <c r="G51"/>
      <c r="H51"/>
      <c r="I51"/>
    </row>
    <row r="52" spans="1:9" x14ac:dyDescent="0.25">
      <c r="A52"/>
      <c r="B52"/>
      <c r="C52"/>
      <c r="D52"/>
      <c r="E52"/>
      <c r="F52"/>
      <c r="G52"/>
      <c r="H52"/>
      <c r="I52"/>
    </row>
    <row r="53" spans="1:9" x14ac:dyDescent="0.25">
      <c r="A53"/>
      <c r="B53"/>
      <c r="C53"/>
      <c r="D53"/>
      <c r="E53"/>
      <c r="F53"/>
      <c r="G53"/>
      <c r="H53"/>
      <c r="I53"/>
    </row>
    <row r="54" spans="1:9" x14ac:dyDescent="0.25">
      <c r="A54"/>
      <c r="B54"/>
      <c r="C54"/>
      <c r="D54"/>
      <c r="E54"/>
      <c r="F54"/>
      <c r="G54"/>
      <c r="H54"/>
      <c r="I54"/>
    </row>
    <row r="55" spans="1:9" x14ac:dyDescent="0.25">
      <c r="A55"/>
      <c r="B55"/>
      <c r="C55"/>
      <c r="D55"/>
      <c r="E55"/>
      <c r="F55"/>
      <c r="G55"/>
      <c r="H55"/>
      <c r="I55"/>
    </row>
    <row r="56" spans="1:9" x14ac:dyDescent="0.25">
      <c r="A56"/>
      <c r="B56"/>
      <c r="C56"/>
      <c r="D56"/>
      <c r="E56"/>
      <c r="F56"/>
      <c r="G56"/>
      <c r="H56"/>
      <c r="I56"/>
    </row>
    <row r="57" spans="1:9" x14ac:dyDescent="0.25">
      <c r="A57"/>
      <c r="B57"/>
      <c r="C57"/>
      <c r="D57"/>
      <c r="E57"/>
      <c r="F57"/>
      <c r="G57"/>
      <c r="H57"/>
      <c r="I57"/>
    </row>
    <row r="58" spans="1:9" x14ac:dyDescent="0.25">
      <c r="A58"/>
      <c r="B58"/>
      <c r="C58"/>
      <c r="D58"/>
      <c r="E58"/>
      <c r="F58"/>
      <c r="G58"/>
      <c r="H58"/>
      <c r="I58"/>
    </row>
    <row r="59" spans="1:9" x14ac:dyDescent="0.25">
      <c r="A59"/>
      <c r="B59"/>
      <c r="C59"/>
      <c r="D59"/>
      <c r="E59"/>
      <c r="F59"/>
      <c r="G59"/>
      <c r="H59"/>
      <c r="I59"/>
    </row>
  </sheetData>
  <mergeCells count="135">
    <mergeCell ref="A44:V44"/>
    <mergeCell ref="A46:B46"/>
    <mergeCell ref="C46:D46"/>
    <mergeCell ref="A47:B47"/>
    <mergeCell ref="C47:D47"/>
    <mergeCell ref="A39:V39"/>
    <mergeCell ref="A41:B42"/>
    <mergeCell ref="C41:D41"/>
    <mergeCell ref="E41:E42"/>
    <mergeCell ref="F41:G42"/>
    <mergeCell ref="C42:D42"/>
    <mergeCell ref="A32:B32"/>
    <mergeCell ref="C32:D32"/>
    <mergeCell ref="E32:F32"/>
    <mergeCell ref="A34:V34"/>
    <mergeCell ref="A36:B37"/>
    <mergeCell ref="C36:D36"/>
    <mergeCell ref="C37:D37"/>
    <mergeCell ref="E36:E37"/>
    <mergeCell ref="F36:G37"/>
    <mergeCell ref="M29:N29"/>
    <mergeCell ref="O29:P29"/>
    <mergeCell ref="Q29:R29"/>
    <mergeCell ref="S29:T29"/>
    <mergeCell ref="U29:V29"/>
    <mergeCell ref="A31:B31"/>
    <mergeCell ref="C31:D31"/>
    <mergeCell ref="E31:F31"/>
    <mergeCell ref="O28:P28"/>
    <mergeCell ref="Q28:R28"/>
    <mergeCell ref="S28:T28"/>
    <mergeCell ref="U28:V28"/>
    <mergeCell ref="A29:B29"/>
    <mergeCell ref="C29:D29"/>
    <mergeCell ref="E29:F29"/>
    <mergeCell ref="G29:H29"/>
    <mergeCell ref="I29:J29"/>
    <mergeCell ref="K29:L29"/>
    <mergeCell ref="Q27:R27"/>
    <mergeCell ref="S27:T27"/>
    <mergeCell ref="U27:V27"/>
    <mergeCell ref="A28:B28"/>
    <mergeCell ref="C28:D28"/>
    <mergeCell ref="E28:F28"/>
    <mergeCell ref="G28:H28"/>
    <mergeCell ref="I28:J28"/>
    <mergeCell ref="K28:L28"/>
    <mergeCell ref="M28:N28"/>
    <mergeCell ref="S26:T26"/>
    <mergeCell ref="U26:V26"/>
    <mergeCell ref="A27:B27"/>
    <mergeCell ref="C27:D27"/>
    <mergeCell ref="E27:F27"/>
    <mergeCell ref="G27:H27"/>
    <mergeCell ref="I27:J27"/>
    <mergeCell ref="K27:L27"/>
    <mergeCell ref="M27:N27"/>
    <mergeCell ref="O27:P27"/>
    <mergeCell ref="A24:V24"/>
    <mergeCell ref="A26:B26"/>
    <mergeCell ref="C26:D26"/>
    <mergeCell ref="E26:F26"/>
    <mergeCell ref="G26:H26"/>
    <mergeCell ref="I26:J26"/>
    <mergeCell ref="K26:L26"/>
    <mergeCell ref="M26:N26"/>
    <mergeCell ref="O26:P26"/>
    <mergeCell ref="Q26:R26"/>
    <mergeCell ref="A21:B21"/>
    <mergeCell ref="C21:D21"/>
    <mergeCell ref="E21:F21"/>
    <mergeCell ref="A22:B22"/>
    <mergeCell ref="C22:D22"/>
    <mergeCell ref="E22:F22"/>
    <mergeCell ref="O19:P19"/>
    <mergeCell ref="Q18:R18"/>
    <mergeCell ref="Q19:R19"/>
    <mergeCell ref="S18:T18"/>
    <mergeCell ref="S19:T19"/>
    <mergeCell ref="U18:V18"/>
    <mergeCell ref="U19:V19"/>
    <mergeCell ref="G19:H19"/>
    <mergeCell ref="I18:J18"/>
    <mergeCell ref="I19:J19"/>
    <mergeCell ref="K18:L18"/>
    <mergeCell ref="K19:L19"/>
    <mergeCell ref="M18:N18"/>
    <mergeCell ref="M19:N19"/>
    <mergeCell ref="Q17:R17"/>
    <mergeCell ref="S17:T17"/>
    <mergeCell ref="U17:V17"/>
    <mergeCell ref="A15:V15"/>
    <mergeCell ref="A1:V1"/>
    <mergeCell ref="C18:D18"/>
    <mergeCell ref="E18:F18"/>
    <mergeCell ref="G18:H18"/>
    <mergeCell ref="O18:P18"/>
    <mergeCell ref="A18:B18"/>
    <mergeCell ref="A19:B19"/>
    <mergeCell ref="F5:H5"/>
    <mergeCell ref="I5:J5"/>
    <mergeCell ref="C17:D17"/>
    <mergeCell ref="E17:F17"/>
    <mergeCell ref="G17:H17"/>
    <mergeCell ref="I17:J17"/>
    <mergeCell ref="C19:D19"/>
    <mergeCell ref="E19:F19"/>
    <mergeCell ref="C12:D12"/>
    <mergeCell ref="C13:D13"/>
    <mergeCell ref="F3:H3"/>
    <mergeCell ref="F4:H4"/>
    <mergeCell ref="A17:B17"/>
    <mergeCell ref="K17:L17"/>
    <mergeCell ref="M17:N17"/>
    <mergeCell ref="O17:P17"/>
    <mergeCell ref="A12:B12"/>
    <mergeCell ref="A13:B13"/>
    <mergeCell ref="C4:D4"/>
    <mergeCell ref="C5:D5"/>
    <mergeCell ref="C6:D6"/>
    <mergeCell ref="C7:D7"/>
    <mergeCell ref="C8:D8"/>
    <mergeCell ref="C9:D9"/>
    <mergeCell ref="C10:D10"/>
    <mergeCell ref="C11:D11"/>
    <mergeCell ref="A6:B6"/>
    <mergeCell ref="A7:B7"/>
    <mergeCell ref="A8:B8"/>
    <mergeCell ref="A9:B9"/>
    <mergeCell ref="A10:B10"/>
    <mergeCell ref="A11:B11"/>
    <mergeCell ref="A3:B3"/>
    <mergeCell ref="C3:D3"/>
    <mergeCell ref="A4:B4"/>
    <mergeCell ref="A5:B5"/>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26A41-BB0A-42B3-B751-04850157E38E}">
  <dimension ref="A1:Z1048576"/>
  <sheetViews>
    <sheetView showGridLines="0" topLeftCell="J64" workbookViewId="0">
      <selection activeCell="X80" sqref="X80"/>
    </sheetView>
  </sheetViews>
  <sheetFormatPr baseColWidth="10" defaultRowHeight="15" x14ac:dyDescent="0.25"/>
  <cols>
    <col min="1" max="16384" width="11.42578125" style="3"/>
  </cols>
  <sheetData>
    <row r="1" spans="1:23" ht="19.5" x14ac:dyDescent="0.35">
      <c r="A1" s="16" t="s">
        <v>147</v>
      </c>
      <c r="B1" s="16"/>
      <c r="C1" s="16"/>
      <c r="D1" s="16"/>
      <c r="E1" s="16"/>
      <c r="F1" s="16"/>
      <c r="G1" s="16"/>
      <c r="H1" s="16"/>
      <c r="I1" s="16"/>
      <c r="J1" s="16"/>
      <c r="K1" s="16"/>
      <c r="L1" s="16"/>
      <c r="M1" s="16"/>
      <c r="N1" s="16"/>
      <c r="O1" s="16"/>
      <c r="P1" s="16"/>
      <c r="Q1" s="16"/>
      <c r="R1" s="16"/>
      <c r="S1" s="16"/>
      <c r="T1" s="16"/>
      <c r="U1" s="16"/>
      <c r="V1" s="16"/>
      <c r="W1" s="16"/>
    </row>
    <row r="3" spans="1:23" ht="15.75" x14ac:dyDescent="0.3">
      <c r="A3" s="29" t="s">
        <v>43</v>
      </c>
      <c r="B3" s="29"/>
      <c r="C3" s="29"/>
      <c r="D3" s="29">
        <v>2017</v>
      </c>
      <c r="E3" s="29"/>
      <c r="F3" s="29">
        <v>2018</v>
      </c>
      <c r="G3" s="29"/>
      <c r="H3" s="29">
        <v>2019</v>
      </c>
      <c r="I3" s="29"/>
      <c r="J3" s="29">
        <v>2020</v>
      </c>
      <c r="K3" s="29"/>
      <c r="L3" s="29">
        <v>2021</v>
      </c>
      <c r="M3" s="29"/>
      <c r="N3" s="29">
        <v>2022</v>
      </c>
      <c r="O3" s="29"/>
      <c r="P3" s="29">
        <v>2023</v>
      </c>
      <c r="Q3" s="29"/>
      <c r="R3" s="29">
        <v>2024</v>
      </c>
      <c r="S3" s="29"/>
      <c r="T3" s="29">
        <v>2025</v>
      </c>
      <c r="U3" s="29"/>
      <c r="V3" s="29">
        <v>2026</v>
      </c>
      <c r="W3" s="29"/>
    </row>
    <row r="4" spans="1:23" ht="15.75" x14ac:dyDescent="0.3">
      <c r="A4" s="43" t="s">
        <v>149</v>
      </c>
      <c r="B4" s="43"/>
      <c r="C4" s="43"/>
      <c r="D4" s="21">
        <f>Datos!I53/(Datos!E53-Datos!G53)</f>
        <v>300.60000000000002</v>
      </c>
      <c r="E4" s="21"/>
      <c r="F4" s="24">
        <f>Datos!I54/(Datos!E54-Datos!G54)</f>
        <v>314.56395348837208</v>
      </c>
      <c r="G4" s="24"/>
      <c r="H4" s="24">
        <f>Datos!I55/(Datos!E55-Datos!G55)</f>
        <v>329.44435047361304</v>
      </c>
      <c r="I4" s="24"/>
      <c r="J4" s="24">
        <f>Datos!I56/(Datos!E56-Datos!G56)</f>
        <v>345.32795322904769</v>
      </c>
      <c r="K4" s="24"/>
      <c r="L4" s="24">
        <f>Datos!I57/(Datos!E57-Datos!G57)</f>
        <v>362.31277683863351</v>
      </c>
      <c r="M4" s="24"/>
      <c r="N4" s="24">
        <f>Datos!I58/(Datos!E58-Datos!G58)</f>
        <v>380.50997597870537</v>
      </c>
      <c r="O4" s="24"/>
      <c r="P4" s="24">
        <f>Datos!I59/(Datos!E59-Datos!G59)</f>
        <v>400.04612454929293</v>
      </c>
      <c r="Q4" s="24"/>
      <c r="R4" s="24">
        <f>Datos!I60/(Datos!E60-Datos!G60)</f>
        <v>421.06598701322679</v>
      </c>
      <c r="S4" s="24"/>
      <c r="T4" s="24">
        <f>Datos!I61/(Datos!E61-Datos!G61)</f>
        <v>443.73590979230534</v>
      </c>
      <c r="U4" s="24"/>
      <c r="V4" s="24">
        <f>Datos!I62/(Datos!E62-Datos!G62)</f>
        <v>468.24800084160211</v>
      </c>
      <c r="W4" s="24"/>
    </row>
    <row r="5" spans="1:23" ht="15.75" x14ac:dyDescent="0.3">
      <c r="A5" s="29" t="s">
        <v>148</v>
      </c>
      <c r="B5" s="29"/>
      <c r="C5" s="29"/>
      <c r="D5" s="28">
        <f>Datos!I53/(1-(Datos!G53/Datos!E53))</f>
        <v>240480</v>
      </c>
      <c r="E5" s="19"/>
      <c r="F5" s="28">
        <f>Datos!I54/(1-(Datos!G54/Datos!E54))</f>
        <v>264233.72093023255</v>
      </c>
      <c r="G5" s="19"/>
      <c r="H5" s="28">
        <f>Datos!I55/(1-(Datos!G55/Datos!E55))</f>
        <v>290569.9171177267</v>
      </c>
      <c r="I5" s="19"/>
      <c r="J5" s="28">
        <f>Datos!I56/(1-(Datos!G56/Datos!E56))</f>
        <v>319808.2174854211</v>
      </c>
      <c r="K5" s="19"/>
      <c r="L5" s="28">
        <f>Datos!I57/(1-(Datos!G57/Datos!E57))</f>
        <v>352314.75576177146</v>
      </c>
      <c r="M5" s="19"/>
      <c r="N5" s="28">
        <f>Datos!I58/(1-(Datos!G58/Datos!E58))</f>
        <v>388510.29335115169</v>
      </c>
      <c r="O5" s="19"/>
      <c r="P5" s="28">
        <f>Datos!I59/(1-(Datos!G59/Datos!E59))</f>
        <v>428880.05404594669</v>
      </c>
      <c r="Q5" s="19"/>
      <c r="R5" s="28">
        <f>Datos!I60/(1-(Datos!G60/Datos!E60))</f>
        <v>473985.70263398619</v>
      </c>
      <c r="S5" s="19"/>
      <c r="T5" s="28">
        <f>Datos!I61/(1-(Datos!G61/Datos!E61))</f>
        <v>524480.02842186741</v>
      </c>
      <c r="U5" s="19"/>
      <c r="V5" s="28">
        <f>Datos!I62/(1-(Datos!G62/Datos!E62))</f>
        <v>581125.06862488762</v>
      </c>
      <c r="W5" s="19"/>
    </row>
    <row r="7" spans="1:23" ht="16.5" x14ac:dyDescent="0.3">
      <c r="A7" s="80" t="s">
        <v>150</v>
      </c>
      <c r="B7" s="80"/>
      <c r="C7" s="80"/>
      <c r="D7" s="80"/>
      <c r="E7" s="80"/>
      <c r="F7" s="80"/>
      <c r="G7" s="80"/>
      <c r="H7" s="80"/>
    </row>
    <row r="9" spans="1:23" ht="15.75" x14ac:dyDescent="0.3">
      <c r="A9" s="81" t="s">
        <v>43</v>
      </c>
      <c r="B9" s="81"/>
      <c r="C9" s="81"/>
      <c r="D9" s="29">
        <v>2017</v>
      </c>
      <c r="E9" s="29"/>
      <c r="F9" s="29">
        <v>2018</v>
      </c>
      <c r="G9" s="29"/>
      <c r="H9" s="29">
        <v>2019</v>
      </c>
      <c r="I9" s="29"/>
      <c r="J9" s="29">
        <v>2020</v>
      </c>
      <c r="K9" s="29"/>
      <c r="L9" s="29">
        <v>2021</v>
      </c>
      <c r="M9" s="29"/>
      <c r="N9" s="29">
        <v>2022</v>
      </c>
      <c r="O9" s="29"/>
      <c r="P9" s="29">
        <v>2023</v>
      </c>
      <c r="Q9" s="29"/>
      <c r="R9" s="29">
        <v>2024</v>
      </c>
      <c r="S9" s="29"/>
      <c r="T9" s="29">
        <v>2025</v>
      </c>
      <c r="U9" s="29"/>
      <c r="V9" s="29">
        <v>2026</v>
      </c>
      <c r="W9" s="29"/>
    </row>
    <row r="10" spans="1:23" x14ac:dyDescent="0.25">
      <c r="A10" s="31" t="s">
        <v>10</v>
      </c>
      <c r="B10" s="31"/>
      <c r="C10" s="31"/>
      <c r="D10" s="27">
        <f>Datos!E53</f>
        <v>800</v>
      </c>
      <c r="E10" s="21"/>
      <c r="F10" s="27">
        <f>Datos!E54</f>
        <v>840</v>
      </c>
      <c r="G10" s="21"/>
      <c r="H10" s="27">
        <f>Datos!E55</f>
        <v>882</v>
      </c>
      <c r="I10" s="21"/>
      <c r="J10" s="27">
        <f>Datos!E56</f>
        <v>926.1</v>
      </c>
      <c r="K10" s="21"/>
      <c r="L10" s="27">
        <f>Datos!E57</f>
        <v>972.40500000000009</v>
      </c>
      <c r="M10" s="21"/>
      <c r="N10" s="27">
        <f>Datos!E58</f>
        <v>1021.0252500000001</v>
      </c>
      <c r="O10" s="21"/>
      <c r="P10" s="27">
        <f>Datos!E59</f>
        <v>1072.0765125000003</v>
      </c>
      <c r="Q10" s="21"/>
      <c r="R10" s="27">
        <f>Datos!E60</f>
        <v>1125.6803381250004</v>
      </c>
      <c r="S10" s="21"/>
      <c r="T10" s="27">
        <f>Datos!E61</f>
        <v>1181.9643550312505</v>
      </c>
      <c r="U10" s="21"/>
      <c r="V10" s="27">
        <f>Datos!E62</f>
        <v>1241.062572782813</v>
      </c>
      <c r="W10" s="21"/>
    </row>
    <row r="11" spans="1:23" x14ac:dyDescent="0.25">
      <c r="A11" s="33" t="s">
        <v>151</v>
      </c>
      <c r="B11" s="33"/>
      <c r="C11" s="33"/>
      <c r="D11" s="28">
        <f>Datos!G53</f>
        <v>300</v>
      </c>
      <c r="E11" s="19"/>
      <c r="F11" s="28">
        <f>Datos!G54</f>
        <v>324</v>
      </c>
      <c r="G11" s="19"/>
      <c r="H11" s="28">
        <f>Datos!G55</f>
        <v>349.92</v>
      </c>
      <c r="I11" s="19"/>
      <c r="J11" s="28">
        <f>Datos!G56</f>
        <v>377.91360000000009</v>
      </c>
      <c r="K11" s="19"/>
      <c r="L11" s="28">
        <f>Datos!G57</f>
        <v>408.14668800000004</v>
      </c>
      <c r="M11" s="19"/>
      <c r="N11" s="28">
        <f>Datos!G58</f>
        <v>440.7984230400001</v>
      </c>
      <c r="O11" s="19"/>
      <c r="P11" s="28">
        <f>Datos!G59</f>
        <v>476.06229688320013</v>
      </c>
      <c r="Q11" s="19"/>
      <c r="R11" s="28">
        <f>Datos!G60</f>
        <v>514.14728063385621</v>
      </c>
      <c r="S11" s="19"/>
      <c r="T11" s="28">
        <f>Datos!G61</f>
        <v>555.27906308456477</v>
      </c>
      <c r="U11" s="19"/>
      <c r="V11" s="28">
        <f>Datos!G62</f>
        <v>599.70138813132996</v>
      </c>
      <c r="W11" s="19"/>
    </row>
    <row r="12" spans="1:23" x14ac:dyDescent="0.25">
      <c r="A12" s="31" t="s">
        <v>152</v>
      </c>
      <c r="B12" s="31"/>
      <c r="C12" s="31"/>
      <c r="D12" s="27">
        <f>D10-D11</f>
        <v>500</v>
      </c>
      <c r="E12" s="21"/>
      <c r="F12" s="27">
        <f>F10-F11</f>
        <v>516</v>
      </c>
      <c r="G12" s="21"/>
      <c r="H12" s="27">
        <f>H10-H11</f>
        <v>532.07999999999993</v>
      </c>
      <c r="I12" s="21"/>
      <c r="J12" s="27">
        <f>J10-J11</f>
        <v>548.18639999999994</v>
      </c>
      <c r="K12" s="21"/>
      <c r="L12" s="27">
        <f>L10-L11</f>
        <v>564.25831200000005</v>
      </c>
      <c r="M12" s="21"/>
      <c r="N12" s="27">
        <f>N10-N11</f>
        <v>580.22682696000004</v>
      </c>
      <c r="O12" s="21"/>
      <c r="P12" s="27">
        <f>P10-P11</f>
        <v>596.01421561680013</v>
      </c>
      <c r="Q12" s="21"/>
      <c r="R12" s="27">
        <f>R10-R11</f>
        <v>611.53305749114418</v>
      </c>
      <c r="S12" s="21"/>
      <c r="T12" s="27">
        <f>T10-T11</f>
        <v>626.68529194668577</v>
      </c>
      <c r="U12" s="21"/>
      <c r="V12" s="27">
        <f>V10-V11</f>
        <v>641.36118465148309</v>
      </c>
      <c r="W12" s="21"/>
    </row>
    <row r="13" spans="1:23" x14ac:dyDescent="0.25">
      <c r="A13" s="33" t="s">
        <v>153</v>
      </c>
      <c r="B13" s="33"/>
      <c r="C13" s="33"/>
      <c r="D13" s="28">
        <f>Datos!I53</f>
        <v>150300</v>
      </c>
      <c r="E13" s="19"/>
      <c r="F13" s="28">
        <f>Datos!I54</f>
        <v>162315</v>
      </c>
      <c r="G13" s="19"/>
      <c r="H13" s="28">
        <f>Datos!I55</f>
        <v>175290.75</v>
      </c>
      <c r="I13" s="19"/>
      <c r="J13" s="28">
        <f>Datos!I56</f>
        <v>189304.08750000002</v>
      </c>
      <c r="K13" s="19"/>
      <c r="L13" s="28">
        <f>Datos!I57</f>
        <v>204437.99587500005</v>
      </c>
      <c r="M13" s="19"/>
      <c r="N13" s="28">
        <f>Datos!I58</f>
        <v>220782.09598875005</v>
      </c>
      <c r="O13" s="19"/>
      <c r="P13" s="28">
        <f>Datos!I59</f>
        <v>238433.17713378757</v>
      </c>
      <c r="Q13" s="19"/>
      <c r="R13" s="28">
        <f>Datos!I60</f>
        <v>257495.77044372499</v>
      </c>
      <c r="S13" s="19"/>
      <c r="T13" s="28">
        <f>Datos!I61</f>
        <v>278082.76817541907</v>
      </c>
      <c r="U13" s="19"/>
      <c r="V13" s="28">
        <f>Datos!I62</f>
        <v>300316.09253045858</v>
      </c>
      <c r="W13" s="19"/>
    </row>
    <row r="14" spans="1:23" x14ac:dyDescent="0.25">
      <c r="A14" s="6" t="s">
        <v>154</v>
      </c>
      <c r="B14" s="6" t="s">
        <v>155</v>
      </c>
      <c r="C14" s="6">
        <v>200</v>
      </c>
      <c r="D14" s="27">
        <f>($D$12*C14)-$D$13</f>
        <v>-50300</v>
      </c>
      <c r="E14" s="21"/>
      <c r="F14" s="27">
        <f>($F$12*C14)-$F$13</f>
        <v>-59115</v>
      </c>
      <c r="G14" s="21"/>
      <c r="H14" s="27">
        <f>($H$12*C14)-$H$13</f>
        <v>-68874.750000000015</v>
      </c>
      <c r="I14" s="21"/>
      <c r="J14" s="27">
        <f>($J$12*C14)-$J$13</f>
        <v>-79666.807500000039</v>
      </c>
      <c r="K14" s="21"/>
      <c r="L14" s="27">
        <f>($L$12*C14)-$L$13</f>
        <v>-91586.333475000036</v>
      </c>
      <c r="M14" s="21"/>
      <c r="N14" s="27">
        <f>($N$12*C14)-$N$13</f>
        <v>-104736.73059675004</v>
      </c>
      <c r="O14" s="21"/>
      <c r="P14" s="27">
        <f>($P$12*C14)-$P$13</f>
        <v>-119230.33401042754</v>
      </c>
      <c r="Q14" s="21"/>
      <c r="R14" s="27">
        <f>($R$12*C14)-$R$13</f>
        <v>-135189.15894549614</v>
      </c>
      <c r="S14" s="21"/>
      <c r="T14" s="27">
        <f>($T$12*C14)-$T$13</f>
        <v>-152745.70978608192</v>
      </c>
      <c r="U14" s="21"/>
      <c r="V14" s="27">
        <f>($V$12*C14)-$V$13</f>
        <v>-172043.85560016197</v>
      </c>
      <c r="W14" s="21"/>
    </row>
    <row r="15" spans="1:23" x14ac:dyDescent="0.25">
      <c r="A15" s="7" t="s">
        <v>154</v>
      </c>
      <c r="B15" s="7" t="s">
        <v>155</v>
      </c>
      <c r="C15" s="7">
        <v>300</v>
      </c>
      <c r="D15" s="28">
        <f t="shared" ref="D15:D17" si="0">($D$12*C15)-$D$13</f>
        <v>-300</v>
      </c>
      <c r="E15" s="19"/>
      <c r="F15" s="28">
        <f t="shared" ref="F15:F17" si="1">($F$12*C15)-$F$13</f>
        <v>-7515</v>
      </c>
      <c r="G15" s="19"/>
      <c r="H15" s="28">
        <f t="shared" ref="H15:H17" si="2">($H$12*C15)-$H$13</f>
        <v>-15666.750000000029</v>
      </c>
      <c r="I15" s="19"/>
      <c r="J15" s="28">
        <f t="shared" ref="J15:J17" si="3">($J$12*C15)-$J$13</f>
        <v>-24848.16750000004</v>
      </c>
      <c r="K15" s="19"/>
      <c r="L15" s="28">
        <f t="shared" ref="L15:L17" si="4">($L$12*C15)-$L$13</f>
        <v>-35160.502275000035</v>
      </c>
      <c r="M15" s="19"/>
      <c r="N15" s="28">
        <f t="shared" ref="N15:N17" si="5">($N$12*C15)-$N$13</f>
        <v>-46714.04790075004</v>
      </c>
      <c r="O15" s="19"/>
      <c r="P15" s="28">
        <f t="shared" ref="P15:P17" si="6">($P$12*C15)-$P$13</f>
        <v>-59628.91244874752</v>
      </c>
      <c r="Q15" s="19"/>
      <c r="R15" s="28">
        <f t="shared" ref="R15:R17" si="7">($R$12*C15)-$R$13</f>
        <v>-74035.853196381737</v>
      </c>
      <c r="S15" s="19"/>
      <c r="T15" s="28">
        <f t="shared" ref="T15:T17" si="8">($T$12*C15)-$T$13</f>
        <v>-90077.180591413344</v>
      </c>
      <c r="U15" s="19"/>
      <c r="V15" s="28">
        <f t="shared" ref="V15:V17" si="9">($V$12*C15)-$V$13</f>
        <v>-107907.73713501365</v>
      </c>
      <c r="W15" s="19"/>
    </row>
    <row r="16" spans="1:23" x14ac:dyDescent="0.25">
      <c r="A16" s="6" t="s">
        <v>154</v>
      </c>
      <c r="B16" s="6" t="s">
        <v>155</v>
      </c>
      <c r="C16" s="6">
        <v>400</v>
      </c>
      <c r="D16" s="27">
        <f t="shared" si="0"/>
        <v>49700</v>
      </c>
      <c r="E16" s="21"/>
      <c r="F16" s="27">
        <f t="shared" si="1"/>
        <v>44085</v>
      </c>
      <c r="G16" s="21"/>
      <c r="H16" s="27">
        <f t="shared" si="2"/>
        <v>37541.249999999971</v>
      </c>
      <c r="I16" s="21"/>
      <c r="J16" s="27">
        <f t="shared" si="3"/>
        <v>29970.472499999945</v>
      </c>
      <c r="K16" s="21"/>
      <c r="L16" s="27">
        <f t="shared" si="4"/>
        <v>21265.32892499998</v>
      </c>
      <c r="M16" s="21"/>
      <c r="N16" s="27">
        <f t="shared" si="5"/>
        <v>11308.634795249964</v>
      </c>
      <c r="O16" s="21"/>
      <c r="P16" s="27">
        <f t="shared" si="6"/>
        <v>-27.49088706751354</v>
      </c>
      <c r="Q16" s="21"/>
      <c r="R16" s="27">
        <f t="shared" si="7"/>
        <v>-12882.547447267309</v>
      </c>
      <c r="S16" s="21"/>
      <c r="T16" s="27">
        <f t="shared" si="8"/>
        <v>-27408.651396744768</v>
      </c>
      <c r="U16" s="21"/>
      <c r="V16" s="27">
        <f t="shared" si="9"/>
        <v>-43771.618669865362</v>
      </c>
      <c r="W16" s="21"/>
    </row>
    <row r="17" spans="1:26" x14ac:dyDescent="0.25">
      <c r="A17" s="7" t="s">
        <v>154</v>
      </c>
      <c r="B17" s="7" t="s">
        <v>155</v>
      </c>
      <c r="C17" s="7">
        <v>500</v>
      </c>
      <c r="D17" s="28">
        <f t="shared" si="0"/>
        <v>99700</v>
      </c>
      <c r="E17" s="19"/>
      <c r="F17" s="28">
        <f t="shared" si="1"/>
        <v>95685</v>
      </c>
      <c r="G17" s="19"/>
      <c r="H17" s="28">
        <f t="shared" si="2"/>
        <v>90749.249999999942</v>
      </c>
      <c r="I17" s="19"/>
      <c r="J17" s="28">
        <f t="shared" si="3"/>
        <v>84789.11249999993</v>
      </c>
      <c r="K17" s="19"/>
      <c r="L17" s="28">
        <f t="shared" si="4"/>
        <v>77691.160124999966</v>
      </c>
      <c r="M17" s="19"/>
      <c r="N17" s="28">
        <f t="shared" si="5"/>
        <v>69331.317491249996</v>
      </c>
      <c r="O17" s="19"/>
      <c r="P17" s="28">
        <f t="shared" si="6"/>
        <v>59573.930674612493</v>
      </c>
      <c r="Q17" s="19"/>
      <c r="R17" s="28">
        <f t="shared" si="7"/>
        <v>48270.75830184709</v>
      </c>
      <c r="S17" s="19"/>
      <c r="T17" s="28">
        <f t="shared" si="8"/>
        <v>35259.877797923808</v>
      </c>
      <c r="U17" s="19"/>
      <c r="V17" s="28">
        <f t="shared" si="9"/>
        <v>20364.499795282958</v>
      </c>
      <c r="W17" s="19"/>
    </row>
    <row r="19" spans="1:26" ht="15.75" x14ac:dyDescent="0.3">
      <c r="A19" s="19"/>
      <c r="B19" s="19"/>
      <c r="C19" s="29" t="s">
        <v>157</v>
      </c>
      <c r="D19" s="29"/>
      <c r="E19" s="29"/>
      <c r="F19" s="29"/>
      <c r="G19" s="29"/>
      <c r="H19" s="29"/>
      <c r="I19" s="29"/>
      <c r="J19" s="29"/>
      <c r="K19" s="29" t="s">
        <v>158</v>
      </c>
      <c r="L19" s="29"/>
      <c r="M19" s="29"/>
      <c r="N19" s="29"/>
      <c r="O19" s="29"/>
      <c r="P19" s="29"/>
      <c r="Q19" s="29"/>
      <c r="R19" s="29"/>
      <c r="S19" s="29" t="s">
        <v>153</v>
      </c>
      <c r="T19" s="29"/>
      <c r="U19" s="29"/>
      <c r="V19" s="29"/>
      <c r="W19" s="29"/>
      <c r="X19" s="29"/>
      <c r="Y19" s="29"/>
      <c r="Z19" s="29"/>
    </row>
    <row r="20" spans="1:26" ht="15.75" x14ac:dyDescent="0.3">
      <c r="A20" s="43" t="s">
        <v>156</v>
      </c>
      <c r="B20" s="43"/>
      <c r="C20" s="43">
        <v>200</v>
      </c>
      <c r="D20" s="43"/>
      <c r="E20" s="43">
        <v>300</v>
      </c>
      <c r="F20" s="43"/>
      <c r="G20" s="43">
        <v>400</v>
      </c>
      <c r="H20" s="43"/>
      <c r="I20" s="43">
        <v>500</v>
      </c>
      <c r="J20" s="43"/>
      <c r="K20" s="43">
        <v>200</v>
      </c>
      <c r="L20" s="43"/>
      <c r="M20" s="43">
        <v>300</v>
      </c>
      <c r="N20" s="43"/>
      <c r="O20" s="43">
        <v>400</v>
      </c>
      <c r="P20" s="43"/>
      <c r="Q20" s="43">
        <v>500</v>
      </c>
      <c r="R20" s="43"/>
      <c r="S20" s="43">
        <v>200</v>
      </c>
      <c r="T20" s="43"/>
      <c r="U20" s="43">
        <v>300</v>
      </c>
      <c r="V20" s="43"/>
      <c r="W20" s="43">
        <v>400</v>
      </c>
      <c r="X20" s="43"/>
      <c r="Y20" s="43">
        <v>500</v>
      </c>
      <c r="Z20" s="43"/>
    </row>
    <row r="21" spans="1:26" ht="15.75" x14ac:dyDescent="0.3">
      <c r="A21" s="29">
        <v>2017</v>
      </c>
      <c r="B21" s="29"/>
      <c r="C21" s="28">
        <f>$D$14+($D$10*$C$20)</f>
        <v>109700</v>
      </c>
      <c r="D21" s="19"/>
      <c r="E21" s="28">
        <f>$D$15+($D$10*$E$20)</f>
        <v>239700</v>
      </c>
      <c r="F21" s="19"/>
      <c r="G21" s="28">
        <f>D16+($D$10*G$20)</f>
        <v>369700</v>
      </c>
      <c r="H21" s="19"/>
      <c r="I21" s="28">
        <f>$D17+($D$10*$I$20)</f>
        <v>499700</v>
      </c>
      <c r="J21" s="19"/>
      <c r="K21" s="28">
        <f>S21+($D$11*$K$20)</f>
        <v>210300</v>
      </c>
      <c r="L21" s="19"/>
      <c r="M21" s="28">
        <f>U21+($D$11*$M$20)</f>
        <v>240300</v>
      </c>
      <c r="N21" s="19"/>
      <c r="O21" s="28">
        <f>W21+($D$11*$O$20)</f>
        <v>270300</v>
      </c>
      <c r="P21" s="19"/>
      <c r="Q21" s="28">
        <f>Y21+($D$11*$Q$20)</f>
        <v>300300</v>
      </c>
      <c r="R21" s="19"/>
      <c r="S21" s="28">
        <f>Datos!I53</f>
        <v>150300</v>
      </c>
      <c r="T21" s="19"/>
      <c r="U21" s="28">
        <f>Datos!I53</f>
        <v>150300</v>
      </c>
      <c r="V21" s="19"/>
      <c r="W21" s="28">
        <f>Datos!I53</f>
        <v>150300</v>
      </c>
      <c r="X21" s="19"/>
      <c r="Y21" s="28">
        <f>Datos!I53</f>
        <v>150300</v>
      </c>
      <c r="Z21" s="19"/>
    </row>
    <row r="22" spans="1:26" ht="15.75" x14ac:dyDescent="0.3">
      <c r="A22" s="43">
        <v>2018</v>
      </c>
      <c r="B22" s="43"/>
      <c r="C22" s="27">
        <f>$F$14+($F$10*$C$20)</f>
        <v>108885</v>
      </c>
      <c r="D22" s="21"/>
      <c r="E22" s="27">
        <f>$F$15+($F$10*$E$20)</f>
        <v>244485</v>
      </c>
      <c r="F22" s="21"/>
      <c r="G22" s="27">
        <f>$F$16+($F$10*$G$20)</f>
        <v>380085</v>
      </c>
      <c r="H22" s="21"/>
      <c r="I22" s="27">
        <f>$F$17+($F$10*$I$20)</f>
        <v>515685</v>
      </c>
      <c r="J22" s="21"/>
      <c r="K22" s="27">
        <f>S22+($F$11*$K$20)</f>
        <v>227115</v>
      </c>
      <c r="L22" s="21"/>
      <c r="M22" s="27">
        <f>U22+($F$11*$M$20)</f>
        <v>259515</v>
      </c>
      <c r="N22" s="21"/>
      <c r="O22" s="27">
        <f>W22+($F$11*$O$20)</f>
        <v>291915</v>
      </c>
      <c r="P22" s="21"/>
      <c r="Q22" s="27">
        <f>Y22+($F$11*$Q$20)</f>
        <v>324315</v>
      </c>
      <c r="R22" s="21"/>
      <c r="S22" s="27">
        <f>Datos!I54</f>
        <v>162315</v>
      </c>
      <c r="T22" s="21"/>
      <c r="U22" s="27">
        <f>Datos!I54</f>
        <v>162315</v>
      </c>
      <c r="V22" s="21"/>
      <c r="W22" s="27">
        <f>Datos!I54</f>
        <v>162315</v>
      </c>
      <c r="X22" s="21"/>
      <c r="Y22" s="27">
        <f>Datos!I54</f>
        <v>162315</v>
      </c>
      <c r="Z22" s="21"/>
    </row>
    <row r="23" spans="1:26" ht="15.75" x14ac:dyDescent="0.3">
      <c r="A23" s="29">
        <v>2019</v>
      </c>
      <c r="B23" s="29"/>
      <c r="C23" s="28">
        <f>$H$14+($H$10*$C$20)</f>
        <v>107525.24999999999</v>
      </c>
      <c r="D23" s="19"/>
      <c r="E23" s="28">
        <f>$H$15+($H$10*$E$20)</f>
        <v>248933.24999999997</v>
      </c>
      <c r="F23" s="19"/>
      <c r="G23" s="28">
        <f>$H$16+($H$10*$G$20)</f>
        <v>390341.25</v>
      </c>
      <c r="H23" s="19"/>
      <c r="I23" s="28">
        <f>$H$17+($H$10*$I$20)</f>
        <v>531749.25</v>
      </c>
      <c r="J23" s="19"/>
      <c r="K23" s="28">
        <f>S23+($H$11*$K$20)</f>
        <v>245274.75</v>
      </c>
      <c r="L23" s="19"/>
      <c r="M23" s="28">
        <f>U23+($H$11*$M$20)</f>
        <v>280266.75</v>
      </c>
      <c r="N23" s="19"/>
      <c r="O23" s="28">
        <f>W23+($H$11*$O$20)</f>
        <v>315258.75</v>
      </c>
      <c r="P23" s="19"/>
      <c r="Q23" s="28">
        <f>Y23+($H$11*$Q$20)</f>
        <v>350250.75</v>
      </c>
      <c r="R23" s="19"/>
      <c r="S23" s="28">
        <f>Datos!I55</f>
        <v>175290.75</v>
      </c>
      <c r="T23" s="19"/>
      <c r="U23" s="28">
        <f>Datos!I55</f>
        <v>175290.75</v>
      </c>
      <c r="V23" s="19"/>
      <c r="W23" s="28">
        <f>Datos!I55</f>
        <v>175290.75</v>
      </c>
      <c r="X23" s="19"/>
      <c r="Y23" s="28">
        <f>Datos!I55</f>
        <v>175290.75</v>
      </c>
      <c r="Z23" s="19"/>
    </row>
    <row r="24" spans="1:26" ht="15.75" x14ac:dyDescent="0.3">
      <c r="A24" s="43">
        <v>2020</v>
      </c>
      <c r="B24" s="43"/>
      <c r="C24" s="27">
        <f>$J$14+($J$10*$C$20)</f>
        <v>105553.19249999996</v>
      </c>
      <c r="D24" s="21"/>
      <c r="E24" s="27">
        <f>$J$15+($J$10*$E$20)</f>
        <v>252981.83249999996</v>
      </c>
      <c r="F24" s="21"/>
      <c r="G24" s="27">
        <f>$J$16+($J$10*$G$20)</f>
        <v>400410.47249999992</v>
      </c>
      <c r="H24" s="21"/>
      <c r="I24" s="27">
        <f>$J$17+($J$10*$I$20)</f>
        <v>547839.11249999993</v>
      </c>
      <c r="J24" s="21"/>
      <c r="K24" s="27">
        <f>S24+($J$11*$K$20)</f>
        <v>264886.80750000005</v>
      </c>
      <c r="L24" s="21"/>
      <c r="M24" s="27">
        <f>U24+($J$11*$M$20)</f>
        <v>302678.16750000004</v>
      </c>
      <c r="N24" s="21"/>
      <c r="O24" s="27">
        <f>W24+($J$11*$O$20)</f>
        <v>340469.52750000008</v>
      </c>
      <c r="P24" s="21"/>
      <c r="Q24" s="27">
        <f>Y24+($J$11*$Q$20)</f>
        <v>378260.88750000007</v>
      </c>
      <c r="R24" s="21"/>
      <c r="S24" s="27">
        <f>Datos!I56</f>
        <v>189304.08750000002</v>
      </c>
      <c r="T24" s="21"/>
      <c r="U24" s="27">
        <f>Datos!I56</f>
        <v>189304.08750000002</v>
      </c>
      <c r="V24" s="21"/>
      <c r="W24" s="27">
        <f>Datos!I56</f>
        <v>189304.08750000002</v>
      </c>
      <c r="X24" s="21"/>
      <c r="Y24" s="27">
        <f>Datos!I56</f>
        <v>189304.08750000002</v>
      </c>
      <c r="Z24" s="21"/>
    </row>
    <row r="25" spans="1:26" ht="15.75" x14ac:dyDescent="0.3">
      <c r="A25" s="29">
        <v>2021</v>
      </c>
      <c r="B25" s="29"/>
      <c r="C25" s="28">
        <f>$L$14+($L$10*$C$20)</f>
        <v>102894.66652499999</v>
      </c>
      <c r="D25" s="19"/>
      <c r="E25" s="28">
        <f>$L$15+($L$10*$E$20)</f>
        <v>256560.99772499996</v>
      </c>
      <c r="F25" s="19"/>
      <c r="G25" s="28">
        <f>$L$16+($L$10*$G$20)</f>
        <v>410227.32892500004</v>
      </c>
      <c r="H25" s="19"/>
      <c r="I25" s="28">
        <f>$L$17+($L$10*$I$20)</f>
        <v>563893.66012500005</v>
      </c>
      <c r="J25" s="19"/>
      <c r="K25" s="28">
        <f>S25+($L$11*$K$20)</f>
        <v>286067.33347500005</v>
      </c>
      <c r="L25" s="19"/>
      <c r="M25" s="28">
        <f>U25+($L$11*$M$20)</f>
        <v>326882.00227500009</v>
      </c>
      <c r="N25" s="19"/>
      <c r="O25" s="28">
        <f>W25+($L$11*$O$20)</f>
        <v>367696.67107500008</v>
      </c>
      <c r="P25" s="19"/>
      <c r="Q25" s="28">
        <f>Y25+($L$11*$Q$20)</f>
        <v>408511.33987500006</v>
      </c>
      <c r="R25" s="19"/>
      <c r="S25" s="28">
        <f>Datos!I57</f>
        <v>204437.99587500005</v>
      </c>
      <c r="T25" s="19"/>
      <c r="U25" s="28">
        <f>Datos!I57</f>
        <v>204437.99587500005</v>
      </c>
      <c r="V25" s="19"/>
      <c r="W25" s="28">
        <f>Datos!I57</f>
        <v>204437.99587500005</v>
      </c>
      <c r="X25" s="19"/>
      <c r="Y25" s="28">
        <f>Datos!I57</f>
        <v>204437.99587500005</v>
      </c>
      <c r="Z25" s="19"/>
    </row>
    <row r="26" spans="1:26" ht="15.75" x14ac:dyDescent="0.3">
      <c r="A26" s="43">
        <v>2022</v>
      </c>
      <c r="B26" s="43"/>
      <c r="C26" s="27">
        <f>$N$14+($N$10*$C$20)</f>
        <v>99468.319403249974</v>
      </c>
      <c r="D26" s="21"/>
      <c r="E26" s="27">
        <f>$N$15+($N$10*$E$20)</f>
        <v>259593.52709925003</v>
      </c>
      <c r="F26" s="21"/>
      <c r="G26" s="27">
        <f>$N$16+($N$10*$G$20)</f>
        <v>419718.73479525</v>
      </c>
      <c r="H26" s="21"/>
      <c r="I26" s="27">
        <f>$N$17+($N$10*$I$20)</f>
        <v>579843.94249125011</v>
      </c>
      <c r="J26" s="21"/>
      <c r="K26" s="27">
        <f>S26+($N$11*$K$20)</f>
        <v>308941.78059675009</v>
      </c>
      <c r="L26" s="21"/>
      <c r="M26" s="27">
        <f>U26+($N$11*$M$20)</f>
        <v>353021.62290075008</v>
      </c>
      <c r="N26" s="21"/>
      <c r="O26" s="27">
        <f>W26+($N$11*$O$20)</f>
        <v>397101.46520475007</v>
      </c>
      <c r="P26" s="21"/>
      <c r="Q26" s="27">
        <f>Y26+($N$11*$Q$20)</f>
        <v>441181.30750875012</v>
      </c>
      <c r="R26" s="21"/>
      <c r="S26" s="27">
        <f>Datos!I58</f>
        <v>220782.09598875005</v>
      </c>
      <c r="T26" s="21"/>
      <c r="U26" s="27">
        <f>Datos!I58</f>
        <v>220782.09598875005</v>
      </c>
      <c r="V26" s="21"/>
      <c r="W26" s="27">
        <f>Datos!I58</f>
        <v>220782.09598875005</v>
      </c>
      <c r="X26" s="21"/>
      <c r="Y26" s="27">
        <f>Datos!I58</f>
        <v>220782.09598875005</v>
      </c>
      <c r="Z26" s="21"/>
    </row>
    <row r="27" spans="1:26" ht="15.75" x14ac:dyDescent="0.3">
      <c r="A27" s="29">
        <v>2023</v>
      </c>
      <c r="B27" s="29"/>
      <c r="C27" s="28">
        <f>$P$14+($P$10*$C$20)</f>
        <v>95184.968489572508</v>
      </c>
      <c r="D27" s="19"/>
      <c r="E27" s="28">
        <f>$P$15+($P$10*$E$20)</f>
        <v>261994.04130125258</v>
      </c>
      <c r="F27" s="19"/>
      <c r="G27" s="28">
        <f>$P$16+($P$10*$G$20)</f>
        <v>428803.11411293258</v>
      </c>
      <c r="H27" s="19"/>
      <c r="I27" s="28">
        <f>$P$17+($P$10*$I$20)</f>
        <v>595612.18692461262</v>
      </c>
      <c r="J27" s="19"/>
      <c r="K27" s="28">
        <f>S27+($P$11*$K$20)</f>
        <v>333645.63651042758</v>
      </c>
      <c r="L27" s="19"/>
      <c r="M27" s="28">
        <f>U27+($P$11*$M$20)</f>
        <v>381251.86619874765</v>
      </c>
      <c r="N27" s="19"/>
      <c r="O27" s="28">
        <f>W27+($P$11*$O$20)</f>
        <v>428858.09588706761</v>
      </c>
      <c r="P27" s="19"/>
      <c r="Q27" s="28">
        <f>Y27+($P$11*$Q$20)</f>
        <v>476464.32557538763</v>
      </c>
      <c r="R27" s="19"/>
      <c r="S27" s="28">
        <f>Datos!I59</f>
        <v>238433.17713378757</v>
      </c>
      <c r="T27" s="19"/>
      <c r="U27" s="28">
        <f>Datos!I59</f>
        <v>238433.17713378757</v>
      </c>
      <c r="V27" s="19"/>
      <c r="W27" s="28">
        <f>Datos!I59</f>
        <v>238433.17713378757</v>
      </c>
      <c r="X27" s="19"/>
      <c r="Y27" s="28">
        <f>Datos!I59</f>
        <v>238433.17713378757</v>
      </c>
      <c r="Z27" s="19"/>
    </row>
    <row r="28" spans="1:26" ht="15.75" x14ac:dyDescent="0.3">
      <c r="A28" s="43">
        <v>2024</v>
      </c>
      <c r="B28" s="43"/>
      <c r="C28" s="27">
        <f>$R$14+($R$10*$C$20)</f>
        <v>89946.908679503947</v>
      </c>
      <c r="D28" s="21"/>
      <c r="E28" s="27">
        <f>$R$15+($R$10*$E$20)</f>
        <v>263668.24824111839</v>
      </c>
      <c r="F28" s="21"/>
      <c r="G28" s="27">
        <f>$R$16+($R$10*$G$20)</f>
        <v>437389.58780273283</v>
      </c>
      <c r="H28" s="21"/>
      <c r="I28" s="27">
        <f>$R$17+($R$10*$I$20)</f>
        <v>611110.92736434727</v>
      </c>
      <c r="J28" s="21"/>
      <c r="K28" s="27">
        <f>S28+($R$11*$K$20)</f>
        <v>360325.22657049622</v>
      </c>
      <c r="L28" s="21"/>
      <c r="M28" s="27">
        <f>U28+($R$11*$M$20)</f>
        <v>411739.95463388186</v>
      </c>
      <c r="N28" s="21"/>
      <c r="O28" s="27">
        <f>W28+($R$11*$O$20)</f>
        <v>463154.6826972675</v>
      </c>
      <c r="P28" s="21"/>
      <c r="Q28" s="27">
        <f>Y28+($R$11*$Q$20)</f>
        <v>514569.41076065309</v>
      </c>
      <c r="R28" s="21"/>
      <c r="S28" s="27">
        <f>Datos!I60</f>
        <v>257495.77044372499</v>
      </c>
      <c r="T28" s="21"/>
      <c r="U28" s="27">
        <f>Datos!I60</f>
        <v>257495.77044372499</v>
      </c>
      <c r="V28" s="21"/>
      <c r="W28" s="27">
        <f>Datos!I60</f>
        <v>257495.77044372499</v>
      </c>
      <c r="X28" s="21"/>
      <c r="Y28" s="27">
        <f>Datos!I60</f>
        <v>257495.77044372499</v>
      </c>
      <c r="Z28" s="21"/>
    </row>
    <row r="29" spans="1:26" ht="15.75" x14ac:dyDescent="0.3">
      <c r="A29" s="29">
        <v>2025</v>
      </c>
      <c r="B29" s="29"/>
      <c r="C29" s="28">
        <f>$T$14+($T$10*$C$20)</f>
        <v>83647.1612201682</v>
      </c>
      <c r="D29" s="19"/>
      <c r="E29" s="28">
        <f>$T$15+($T$10*$E$20)</f>
        <v>264512.12591796182</v>
      </c>
      <c r="F29" s="19"/>
      <c r="G29" s="28">
        <f>$T$16+($T$10*$G$20)</f>
        <v>445377.09061575547</v>
      </c>
      <c r="H29" s="19"/>
      <c r="I29" s="28">
        <f>$T$17+($T$10*$I$20)</f>
        <v>626242.055313549</v>
      </c>
      <c r="J29" s="19"/>
      <c r="K29" s="28">
        <f>S29+($T$11*$K$20)</f>
        <v>389138.58079233201</v>
      </c>
      <c r="L29" s="19"/>
      <c r="M29" s="28">
        <f>U29+($T$11*$M$20)</f>
        <v>444666.48710078851</v>
      </c>
      <c r="N29" s="19"/>
      <c r="O29" s="28">
        <f>W29+($T$11*$O$20)</f>
        <v>500194.39340924495</v>
      </c>
      <c r="P29" s="19"/>
      <c r="Q29" s="28">
        <f>Y29+($T$11*$Q$20)</f>
        <v>555722.29971770151</v>
      </c>
      <c r="R29" s="19"/>
      <c r="S29" s="28">
        <f>Datos!I61</f>
        <v>278082.76817541907</v>
      </c>
      <c r="T29" s="19"/>
      <c r="U29" s="28">
        <f>Datos!I61</f>
        <v>278082.76817541907</v>
      </c>
      <c r="V29" s="19"/>
      <c r="W29" s="28">
        <f>Datos!I61</f>
        <v>278082.76817541907</v>
      </c>
      <c r="X29" s="19"/>
      <c r="Y29" s="28">
        <f>Datos!I61</f>
        <v>278082.76817541907</v>
      </c>
      <c r="Z29" s="19"/>
    </row>
    <row r="30" spans="1:26" ht="15.75" x14ac:dyDescent="0.3">
      <c r="A30" s="43">
        <v>2026</v>
      </c>
      <c r="B30" s="43"/>
      <c r="C30" s="27">
        <f>$V$14+($V$10*$C$20)</f>
        <v>76168.658956400643</v>
      </c>
      <c r="D30" s="21"/>
      <c r="E30" s="27">
        <f>$V$15+($V$10*$E$20)</f>
        <v>264411.03469983023</v>
      </c>
      <c r="F30" s="21"/>
      <c r="G30" s="27">
        <f>$V$16+($V$10*$G$20)</f>
        <v>452653.41044325987</v>
      </c>
      <c r="H30" s="21"/>
      <c r="I30" s="27">
        <f>$V$17+($V$10*$I$20)</f>
        <v>640895.78618668951</v>
      </c>
      <c r="J30" s="21"/>
      <c r="K30" s="27">
        <f>S30+($V$11*$K$20)</f>
        <v>420256.37015672459</v>
      </c>
      <c r="L30" s="21"/>
      <c r="M30" s="27">
        <f>U30+($V$11*$M$20)</f>
        <v>480226.50896985759</v>
      </c>
      <c r="N30" s="21"/>
      <c r="O30" s="27">
        <f>W30+($V$11*$O$20)</f>
        <v>540196.64778299059</v>
      </c>
      <c r="P30" s="21"/>
      <c r="Q30" s="27">
        <f>Y30+($V$11*$Q$20)</f>
        <v>600166.78659612359</v>
      </c>
      <c r="R30" s="21"/>
      <c r="S30" s="27">
        <f>Datos!I62</f>
        <v>300316.09253045858</v>
      </c>
      <c r="T30" s="21"/>
      <c r="U30" s="27">
        <f>Datos!I62</f>
        <v>300316.09253045858</v>
      </c>
      <c r="V30" s="21"/>
      <c r="W30" s="27">
        <f>Datos!I62</f>
        <v>300316.09253045858</v>
      </c>
      <c r="X30" s="21"/>
      <c r="Y30" s="27">
        <f>Datos!I62</f>
        <v>300316.09253045858</v>
      </c>
      <c r="Z30" s="21"/>
    </row>
    <row r="33" spans="5:5" x14ac:dyDescent="0.25">
      <c r="E33" s="3">
        <f>1</f>
        <v>1</v>
      </c>
    </row>
    <row r="68" spans="14:22" x14ac:dyDescent="0.25">
      <c r="N68" s="1"/>
      <c r="O68" s="1"/>
      <c r="P68" s="1"/>
      <c r="Q68" s="1"/>
      <c r="R68" s="1"/>
      <c r="S68" s="1"/>
      <c r="T68" s="1"/>
      <c r="U68" s="1"/>
      <c r="V68" s="1"/>
    </row>
    <row r="69" spans="14:22" x14ac:dyDescent="0.25">
      <c r="N69"/>
      <c r="O69"/>
      <c r="P69"/>
      <c r="Q69"/>
      <c r="R69"/>
      <c r="S69"/>
      <c r="T69"/>
      <c r="U69"/>
      <c r="V69"/>
    </row>
    <row r="70" spans="14:22" x14ac:dyDescent="0.25">
      <c r="N70"/>
      <c r="O70"/>
      <c r="P70"/>
      <c r="Q70"/>
      <c r="R70"/>
      <c r="S70"/>
      <c r="T70"/>
      <c r="U70"/>
      <c r="V70"/>
    </row>
    <row r="71" spans="14:22" x14ac:dyDescent="0.25">
      <c r="N71"/>
      <c r="O71"/>
      <c r="P71"/>
      <c r="Q71"/>
      <c r="R71"/>
      <c r="S71"/>
      <c r="T71"/>
      <c r="U71"/>
      <c r="V71"/>
    </row>
    <row r="72" spans="14:22" x14ac:dyDescent="0.25">
      <c r="N72"/>
      <c r="O72"/>
      <c r="P72"/>
      <c r="Q72"/>
      <c r="R72"/>
      <c r="S72"/>
      <c r="T72"/>
      <c r="U72"/>
      <c r="V72"/>
    </row>
    <row r="73" spans="14:22" x14ac:dyDescent="0.25">
      <c r="N73"/>
      <c r="O73"/>
      <c r="P73"/>
      <c r="Q73"/>
      <c r="R73"/>
      <c r="S73"/>
      <c r="T73"/>
      <c r="U73"/>
      <c r="V73"/>
    </row>
    <row r="74" spans="14:22" x14ac:dyDescent="0.25">
      <c r="N74"/>
      <c r="O74"/>
      <c r="P74"/>
      <c r="Q74"/>
      <c r="R74"/>
      <c r="S74"/>
      <c r="T74"/>
      <c r="U74"/>
      <c r="V74"/>
    </row>
    <row r="75" spans="14:22" x14ac:dyDescent="0.25">
      <c r="N75"/>
      <c r="O75"/>
      <c r="P75"/>
      <c r="Q75"/>
      <c r="R75"/>
      <c r="S75"/>
      <c r="T75"/>
      <c r="U75"/>
      <c r="V75"/>
    </row>
    <row r="76" spans="14:22" x14ac:dyDescent="0.25">
      <c r="N76"/>
      <c r="O76"/>
      <c r="P76"/>
      <c r="Q76"/>
      <c r="R76"/>
      <c r="S76"/>
      <c r="T76"/>
      <c r="U76"/>
      <c r="V76"/>
    </row>
    <row r="77" spans="14:22" x14ac:dyDescent="0.25">
      <c r="N77"/>
      <c r="O77"/>
      <c r="P77"/>
      <c r="Q77"/>
      <c r="R77"/>
      <c r="S77"/>
      <c r="T77"/>
      <c r="U77"/>
      <c r="V77"/>
    </row>
    <row r="78" spans="14:22" x14ac:dyDescent="0.25">
      <c r="N78"/>
      <c r="O78"/>
      <c r="P78"/>
      <c r="Q78"/>
      <c r="R78"/>
      <c r="S78"/>
      <c r="T78"/>
      <c r="U78"/>
      <c r="V78"/>
    </row>
    <row r="1048576" spans="9:10" x14ac:dyDescent="0.25">
      <c r="I1048576" s="50">
        <f>$F$17+($F$10*$I$20)</f>
        <v>515685</v>
      </c>
      <c r="J1048576" s="23"/>
    </row>
  </sheetData>
  <mergeCells count="278">
    <mergeCell ref="Y22:Z22"/>
    <mergeCell ref="W22:X22"/>
    <mergeCell ref="U22:V22"/>
    <mergeCell ref="S22:T22"/>
    <mergeCell ref="Y21:Z21"/>
    <mergeCell ref="W21:X21"/>
    <mergeCell ref="U21:V21"/>
    <mergeCell ref="S21:T21"/>
    <mergeCell ref="S29:T29"/>
    <mergeCell ref="U29:V29"/>
    <mergeCell ref="W29:X29"/>
    <mergeCell ref="Y29:Z29"/>
    <mergeCell ref="S30:T30"/>
    <mergeCell ref="U30:V30"/>
    <mergeCell ref="W30:X30"/>
    <mergeCell ref="Y30:Z30"/>
    <mergeCell ref="S27:T27"/>
    <mergeCell ref="U27:V27"/>
    <mergeCell ref="W27:X27"/>
    <mergeCell ref="Y27:Z27"/>
    <mergeCell ref="S28:T28"/>
    <mergeCell ref="U28:V28"/>
    <mergeCell ref="W28:X28"/>
    <mergeCell ref="Y28:Z28"/>
    <mergeCell ref="S25:T25"/>
    <mergeCell ref="U25:V25"/>
    <mergeCell ref="W25:X25"/>
    <mergeCell ref="Y25:Z25"/>
    <mergeCell ref="S26:T26"/>
    <mergeCell ref="U26:V26"/>
    <mergeCell ref="W26:X26"/>
    <mergeCell ref="Y26:Z26"/>
    <mergeCell ref="S23:T23"/>
    <mergeCell ref="U23:V23"/>
    <mergeCell ref="W23:X23"/>
    <mergeCell ref="Y23:Z23"/>
    <mergeCell ref="S24:T24"/>
    <mergeCell ref="U24:V24"/>
    <mergeCell ref="W24:X24"/>
    <mergeCell ref="Y24:Z24"/>
    <mergeCell ref="Q30:R30"/>
    <mergeCell ref="I1048576:J1048576"/>
    <mergeCell ref="O30:P30"/>
    <mergeCell ref="Q21:R21"/>
    <mergeCell ref="Q22:R22"/>
    <mergeCell ref="Q23:R23"/>
    <mergeCell ref="Q24:R24"/>
    <mergeCell ref="Q25:R25"/>
    <mergeCell ref="Q26:R26"/>
    <mergeCell ref="Q27:R27"/>
    <mergeCell ref="Q28:R28"/>
    <mergeCell ref="Q29:R29"/>
    <mergeCell ref="M30:N30"/>
    <mergeCell ref="O21:P21"/>
    <mergeCell ref="O22:P22"/>
    <mergeCell ref="O23:P23"/>
    <mergeCell ref="O24:P24"/>
    <mergeCell ref="O25:P25"/>
    <mergeCell ref="O26:P26"/>
    <mergeCell ref="O27:P27"/>
    <mergeCell ref="O28:P28"/>
    <mergeCell ref="O29:P29"/>
    <mergeCell ref="K30:L30"/>
    <mergeCell ref="M21:N21"/>
    <mergeCell ref="M22:N22"/>
    <mergeCell ref="M23:N23"/>
    <mergeCell ref="M24:N24"/>
    <mergeCell ref="M25:N25"/>
    <mergeCell ref="M26:N26"/>
    <mergeCell ref="M27:N27"/>
    <mergeCell ref="M28:N28"/>
    <mergeCell ref="M29:N29"/>
    <mergeCell ref="K21:L21"/>
    <mergeCell ref="K22:L22"/>
    <mergeCell ref="K23:L23"/>
    <mergeCell ref="K24:L24"/>
    <mergeCell ref="K25:L25"/>
    <mergeCell ref="K26:L26"/>
    <mergeCell ref="K27:L27"/>
    <mergeCell ref="K28:L28"/>
    <mergeCell ref="K29:L29"/>
    <mergeCell ref="I30:J30"/>
    <mergeCell ref="G30:H30"/>
    <mergeCell ref="I21:J21"/>
    <mergeCell ref="I22:J22"/>
    <mergeCell ref="I23:J23"/>
    <mergeCell ref="I24:J24"/>
    <mergeCell ref="I25:J25"/>
    <mergeCell ref="I26:J26"/>
    <mergeCell ref="I27:J27"/>
    <mergeCell ref="I28:J28"/>
    <mergeCell ref="I29:J29"/>
    <mergeCell ref="E30:F30"/>
    <mergeCell ref="G21:H21"/>
    <mergeCell ref="G22:H22"/>
    <mergeCell ref="G23:H23"/>
    <mergeCell ref="G24:H24"/>
    <mergeCell ref="G25:H25"/>
    <mergeCell ref="G26:H26"/>
    <mergeCell ref="G27:H27"/>
    <mergeCell ref="G28:H28"/>
    <mergeCell ref="G29:H29"/>
    <mergeCell ref="C30:D30"/>
    <mergeCell ref="E21:F21"/>
    <mergeCell ref="E22:F22"/>
    <mergeCell ref="E23:F23"/>
    <mergeCell ref="E24:F24"/>
    <mergeCell ref="E25:F25"/>
    <mergeCell ref="E26:F26"/>
    <mergeCell ref="E27:F27"/>
    <mergeCell ref="E28:F28"/>
    <mergeCell ref="E29:F29"/>
    <mergeCell ref="C24:D24"/>
    <mergeCell ref="C25:D25"/>
    <mergeCell ref="C26:D26"/>
    <mergeCell ref="C27:D27"/>
    <mergeCell ref="C28:D28"/>
    <mergeCell ref="C29:D29"/>
    <mergeCell ref="Q20:R20"/>
    <mergeCell ref="S19:Z19"/>
    <mergeCell ref="S20:T20"/>
    <mergeCell ref="U20:V20"/>
    <mergeCell ref="W20:X20"/>
    <mergeCell ref="Y20:Z20"/>
    <mergeCell ref="A30:B30"/>
    <mergeCell ref="C20:D20"/>
    <mergeCell ref="E20:F20"/>
    <mergeCell ref="G20:H20"/>
    <mergeCell ref="I20:J20"/>
    <mergeCell ref="C19:J19"/>
    <mergeCell ref="A19:B19"/>
    <mergeCell ref="C21:D21"/>
    <mergeCell ref="C22:D22"/>
    <mergeCell ref="C23:D23"/>
    <mergeCell ref="A24:B24"/>
    <mergeCell ref="A25:B25"/>
    <mergeCell ref="A26:B26"/>
    <mergeCell ref="A27:B27"/>
    <mergeCell ref="A28:B28"/>
    <mergeCell ref="A29:B29"/>
    <mergeCell ref="V16:W16"/>
    <mergeCell ref="V17:W17"/>
    <mergeCell ref="A20:B20"/>
    <mergeCell ref="A21:B21"/>
    <mergeCell ref="A22:B22"/>
    <mergeCell ref="A23:B23"/>
    <mergeCell ref="K19:R19"/>
    <mergeCell ref="K20:L20"/>
    <mergeCell ref="M20:N20"/>
    <mergeCell ref="O20:P20"/>
    <mergeCell ref="T14:U14"/>
    <mergeCell ref="T15:U15"/>
    <mergeCell ref="T16:U16"/>
    <mergeCell ref="T17:U17"/>
    <mergeCell ref="V10:W10"/>
    <mergeCell ref="V11:W11"/>
    <mergeCell ref="V12:W12"/>
    <mergeCell ref="V13:W13"/>
    <mergeCell ref="V14:W14"/>
    <mergeCell ref="V15:W15"/>
    <mergeCell ref="R13:S13"/>
    <mergeCell ref="R12:S12"/>
    <mergeCell ref="R11:S11"/>
    <mergeCell ref="R10:S10"/>
    <mergeCell ref="T10:U10"/>
    <mergeCell ref="T11:U11"/>
    <mergeCell ref="T12:U12"/>
    <mergeCell ref="T13:U13"/>
    <mergeCell ref="P14:Q14"/>
    <mergeCell ref="P15:Q15"/>
    <mergeCell ref="P16:Q16"/>
    <mergeCell ref="P17:Q17"/>
    <mergeCell ref="R17:S17"/>
    <mergeCell ref="R16:S16"/>
    <mergeCell ref="R15:S15"/>
    <mergeCell ref="R14:S14"/>
    <mergeCell ref="N13:O13"/>
    <mergeCell ref="N12:O12"/>
    <mergeCell ref="N11:O11"/>
    <mergeCell ref="N10:O10"/>
    <mergeCell ref="P10:Q10"/>
    <mergeCell ref="P11:Q11"/>
    <mergeCell ref="P12:Q12"/>
    <mergeCell ref="P13:Q13"/>
    <mergeCell ref="L16:M16"/>
    <mergeCell ref="L17:M17"/>
    <mergeCell ref="N17:O17"/>
    <mergeCell ref="N16:O16"/>
    <mergeCell ref="N15:O15"/>
    <mergeCell ref="N14:O14"/>
    <mergeCell ref="J14:K14"/>
    <mergeCell ref="J15:K15"/>
    <mergeCell ref="J16:K16"/>
    <mergeCell ref="J17:K17"/>
    <mergeCell ref="L10:M10"/>
    <mergeCell ref="L11:M11"/>
    <mergeCell ref="L12:M12"/>
    <mergeCell ref="L13:M13"/>
    <mergeCell ref="L14:M14"/>
    <mergeCell ref="L15:M15"/>
    <mergeCell ref="H13:I13"/>
    <mergeCell ref="H12:I12"/>
    <mergeCell ref="H11:I11"/>
    <mergeCell ref="H10:I10"/>
    <mergeCell ref="J10:K10"/>
    <mergeCell ref="J11:K11"/>
    <mergeCell ref="J12:K12"/>
    <mergeCell ref="J13:K13"/>
    <mergeCell ref="F14:G14"/>
    <mergeCell ref="F15:G15"/>
    <mergeCell ref="F16:G16"/>
    <mergeCell ref="F17:G17"/>
    <mergeCell ref="H17:I17"/>
    <mergeCell ref="H16:I16"/>
    <mergeCell ref="H15:I15"/>
    <mergeCell ref="H14:I14"/>
    <mergeCell ref="T9:U9"/>
    <mergeCell ref="V9:W9"/>
    <mergeCell ref="D10:E10"/>
    <mergeCell ref="D11:E11"/>
    <mergeCell ref="D12:E12"/>
    <mergeCell ref="D13:E13"/>
    <mergeCell ref="F10:G10"/>
    <mergeCell ref="F11:G11"/>
    <mergeCell ref="F12:G12"/>
    <mergeCell ref="F13:G13"/>
    <mergeCell ref="D9:E9"/>
    <mergeCell ref="F9:G9"/>
    <mergeCell ref="H9:I9"/>
    <mergeCell ref="J9:K9"/>
    <mergeCell ref="D14:E14"/>
    <mergeCell ref="D15:E15"/>
    <mergeCell ref="D16:E16"/>
    <mergeCell ref="D17:E17"/>
    <mergeCell ref="A10:C10"/>
    <mergeCell ref="A11:C11"/>
    <mergeCell ref="A12:C12"/>
    <mergeCell ref="A13:C13"/>
    <mergeCell ref="T4:U4"/>
    <mergeCell ref="T5:U5"/>
    <mergeCell ref="V4:W4"/>
    <mergeCell ref="V5:W5"/>
    <mergeCell ref="A7:H7"/>
    <mergeCell ref="A9:C9"/>
    <mergeCell ref="L9:M9"/>
    <mergeCell ref="N9:O9"/>
    <mergeCell ref="P9:Q9"/>
    <mergeCell ref="R9:S9"/>
    <mergeCell ref="L5:M5"/>
    <mergeCell ref="N4:O4"/>
    <mergeCell ref="N5:O5"/>
    <mergeCell ref="P4:Q4"/>
    <mergeCell ref="P5:Q5"/>
    <mergeCell ref="R4:S4"/>
    <mergeCell ref="R5:S5"/>
    <mergeCell ref="T3:U3"/>
    <mergeCell ref="V3:W3"/>
    <mergeCell ref="A1:W1"/>
    <mergeCell ref="F4:G4"/>
    <mergeCell ref="F5:G5"/>
    <mergeCell ref="H4:I4"/>
    <mergeCell ref="H5:I5"/>
    <mergeCell ref="J5:K5"/>
    <mergeCell ref="J4:K4"/>
    <mergeCell ref="L4:M4"/>
    <mergeCell ref="H3:I3"/>
    <mergeCell ref="J3:K3"/>
    <mergeCell ref="L3:M3"/>
    <mergeCell ref="N3:O3"/>
    <mergeCell ref="P3:Q3"/>
    <mergeCell ref="R3:S3"/>
    <mergeCell ref="A3:C3"/>
    <mergeCell ref="A4:C4"/>
    <mergeCell ref="A5:C5"/>
    <mergeCell ref="D3:E3"/>
    <mergeCell ref="D4:E4"/>
    <mergeCell ref="D5:E5"/>
    <mergeCell ref="F3:G3"/>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10</vt:i4>
      </vt:variant>
    </vt:vector>
  </HeadingPairs>
  <TitlesOfParts>
    <vt:vector size="10" baseType="lpstr">
      <vt:lpstr>Portada</vt:lpstr>
      <vt:lpstr>Fundamentacion</vt:lpstr>
      <vt:lpstr>Objetivo</vt:lpstr>
      <vt:lpstr>Datos</vt:lpstr>
      <vt:lpstr>Balance General Incial</vt:lpstr>
      <vt:lpstr>Estado de Resultados</vt:lpstr>
      <vt:lpstr>FNE</vt:lpstr>
      <vt:lpstr>Balance General</vt:lpstr>
      <vt:lpstr>Metodos Evaluacion</vt:lpstr>
      <vt:lpstr>Punto Equilibrio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MARIO ALBERTO MIRANDA  SANDOVAL</dc:creator>
  <cp:lastModifiedBy>MARIO ALBERTO MIRANDA  SANDOVAL</cp:lastModifiedBy>
  <dcterms:created xsi:type="dcterms:W3CDTF">2019-05-20T19:46:42Z</dcterms:created>
  <dcterms:modified xsi:type="dcterms:W3CDTF">2019-05-27T01:09:01Z</dcterms:modified>
</cp:coreProperties>
</file>