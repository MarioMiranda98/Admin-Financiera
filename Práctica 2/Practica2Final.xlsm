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ocuments\Financieras\Práctica 2\"/>
    </mc:Choice>
  </mc:AlternateContent>
  <bookViews>
    <workbookView xWindow="0" yWindow="0" windowWidth="20490" windowHeight="7350" activeTab="4"/>
  </bookViews>
  <sheets>
    <sheet name="Portada" sheetId="1" r:id="rId1"/>
    <sheet name="Antecedentes" sheetId="2" r:id="rId2"/>
    <sheet name="Datos" sheetId="4" r:id="rId3"/>
    <sheet name="Desarrollo" sheetId="5" r:id="rId4"/>
    <sheet name="Ranking" sheetId="6" r:id="rId5"/>
    <sheet name="Conclusiones" sheetId="7"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0" i="6" l="1"/>
  <c r="W13" i="6"/>
  <c r="W12" i="6"/>
  <c r="W11" i="6"/>
  <c r="W10" i="6"/>
  <c r="W9" i="6"/>
  <c r="W8" i="6"/>
  <c r="W7" i="6"/>
  <c r="W6" i="6"/>
  <c r="W5" i="6"/>
  <c r="W4" i="6"/>
  <c r="U13" i="6"/>
  <c r="U12" i="6"/>
  <c r="U11" i="6"/>
  <c r="U10" i="6"/>
  <c r="U9" i="6"/>
  <c r="U8" i="6"/>
  <c r="U7" i="6"/>
  <c r="U6" i="6"/>
  <c r="U5" i="6"/>
  <c r="U4" i="6"/>
  <c r="S13" i="6"/>
  <c r="S12" i="6"/>
  <c r="S11" i="6"/>
  <c r="S10" i="6"/>
  <c r="S9" i="6"/>
  <c r="S8" i="6"/>
  <c r="S7" i="6"/>
  <c r="S6" i="6"/>
  <c r="S5" i="6"/>
  <c r="S4" i="6"/>
  <c r="Q13" i="6"/>
  <c r="Q12" i="6"/>
  <c r="Q11" i="6"/>
  <c r="Q10" i="6"/>
  <c r="Q9" i="6"/>
  <c r="Q8" i="6"/>
  <c r="Q7" i="6"/>
  <c r="Q6" i="6"/>
  <c r="Q5" i="6"/>
  <c r="Q4" i="6"/>
  <c r="O13" i="6"/>
  <c r="O12" i="6"/>
  <c r="O11" i="6"/>
  <c r="O9" i="6"/>
  <c r="O8" i="6"/>
  <c r="O7" i="6"/>
  <c r="O6" i="6"/>
  <c r="O5" i="6"/>
  <c r="O4" i="6"/>
  <c r="M13" i="6"/>
  <c r="M12" i="6"/>
  <c r="M11" i="6"/>
  <c r="M10" i="6"/>
  <c r="M9" i="6"/>
  <c r="M8" i="6"/>
  <c r="M7" i="6"/>
  <c r="M6" i="6"/>
  <c r="M5" i="6"/>
  <c r="M4" i="6"/>
  <c r="K13" i="6"/>
  <c r="K12" i="6"/>
  <c r="K11" i="6"/>
  <c r="K10" i="6"/>
  <c r="K9" i="6"/>
  <c r="K8" i="6"/>
  <c r="K7" i="6"/>
  <c r="K6" i="6"/>
  <c r="K5" i="6"/>
  <c r="K4" i="6"/>
  <c r="I13" i="6"/>
  <c r="I12" i="6"/>
  <c r="I11" i="6"/>
  <c r="I10" i="6"/>
  <c r="I9" i="6"/>
  <c r="I8" i="6"/>
  <c r="I7" i="6"/>
  <c r="I6" i="6"/>
  <c r="I5" i="6"/>
  <c r="I4" i="6"/>
  <c r="G13" i="6"/>
  <c r="G12" i="6"/>
  <c r="G11" i="6"/>
  <c r="G10" i="6"/>
  <c r="G9" i="6"/>
  <c r="G8" i="6"/>
  <c r="G7" i="6"/>
  <c r="G6" i="6"/>
  <c r="G5" i="6"/>
  <c r="G4" i="6"/>
  <c r="E12" i="6"/>
  <c r="E8" i="6"/>
  <c r="E7" i="6"/>
  <c r="E9" i="6"/>
  <c r="E4" i="6"/>
  <c r="E13" i="6"/>
  <c r="E5" i="6"/>
  <c r="E6" i="6"/>
  <c r="E10" i="6"/>
  <c r="E11" i="6"/>
  <c r="C154" i="5"/>
  <c r="C153" i="5"/>
  <c r="C152" i="5"/>
  <c r="C151" i="5"/>
  <c r="C150" i="5"/>
  <c r="C149" i="5"/>
  <c r="C148" i="5"/>
  <c r="C147" i="5"/>
  <c r="C146" i="5"/>
  <c r="D152" i="5"/>
  <c r="D150" i="5"/>
  <c r="D148" i="5"/>
  <c r="D146" i="5"/>
  <c r="M141" i="5"/>
  <c r="M140" i="5"/>
  <c r="M139" i="5"/>
  <c r="M138" i="5"/>
  <c r="M137" i="5"/>
  <c r="M136" i="5"/>
  <c r="M135" i="5"/>
  <c r="M134" i="5"/>
  <c r="M133" i="5"/>
  <c r="N139" i="5"/>
  <c r="N137" i="5"/>
  <c r="N135" i="5"/>
  <c r="N133" i="5"/>
  <c r="H141" i="5"/>
  <c r="H140" i="5"/>
  <c r="H139" i="5"/>
  <c r="H138" i="5"/>
  <c r="H137" i="5"/>
  <c r="H136" i="5"/>
  <c r="H135" i="5"/>
  <c r="H134" i="5"/>
  <c r="H133" i="5"/>
  <c r="I139" i="5"/>
  <c r="I137" i="5"/>
  <c r="I135" i="5"/>
  <c r="I133" i="5"/>
  <c r="C141" i="5"/>
  <c r="C140" i="5"/>
  <c r="C139" i="5"/>
  <c r="C138" i="5"/>
  <c r="C137" i="5"/>
  <c r="C136" i="5"/>
  <c r="C135" i="5"/>
  <c r="C134" i="5"/>
  <c r="C133" i="5"/>
  <c r="D139" i="5"/>
  <c r="D137" i="5"/>
  <c r="D135" i="5"/>
  <c r="D133" i="5"/>
  <c r="M128" i="5"/>
  <c r="M127" i="5"/>
  <c r="M126" i="5"/>
  <c r="M125" i="5"/>
  <c r="M124" i="5"/>
  <c r="M123" i="5"/>
  <c r="M122" i="5"/>
  <c r="M121" i="5"/>
  <c r="M120" i="5"/>
  <c r="N126" i="5"/>
  <c r="N124" i="5"/>
  <c r="N122" i="5"/>
  <c r="N120" i="5"/>
  <c r="H128" i="5"/>
  <c r="H127" i="5"/>
  <c r="H126" i="5"/>
  <c r="H125" i="5"/>
  <c r="H124" i="5"/>
  <c r="H123" i="5"/>
  <c r="H122" i="5"/>
  <c r="H121" i="5"/>
  <c r="H120" i="5"/>
  <c r="I120" i="5" s="1"/>
  <c r="I126" i="5"/>
  <c r="I124" i="5"/>
  <c r="I122" i="5"/>
  <c r="C128" i="5"/>
  <c r="C127" i="5"/>
  <c r="C126" i="5"/>
  <c r="C125" i="5"/>
  <c r="C124" i="5"/>
  <c r="C123" i="5"/>
  <c r="C122" i="5"/>
  <c r="C121" i="5"/>
  <c r="C120" i="5"/>
  <c r="D126" i="5"/>
  <c r="D124" i="5"/>
  <c r="D122" i="5"/>
  <c r="D120" i="5"/>
  <c r="M115" i="5"/>
  <c r="M114" i="5"/>
  <c r="M113" i="5"/>
  <c r="M112" i="5"/>
  <c r="M111" i="5"/>
  <c r="M110" i="5"/>
  <c r="M109" i="5"/>
  <c r="M108" i="5"/>
  <c r="M107" i="5"/>
  <c r="N113" i="5"/>
  <c r="N111" i="5"/>
  <c r="N109" i="5"/>
  <c r="N107" i="5"/>
  <c r="H115" i="5"/>
  <c r="H114" i="5"/>
  <c r="H113" i="5"/>
  <c r="H112" i="5"/>
  <c r="H111" i="5"/>
  <c r="H110" i="5"/>
  <c r="H109" i="5"/>
  <c r="H108" i="5"/>
  <c r="H107" i="5"/>
  <c r="I113" i="5"/>
  <c r="I111" i="5"/>
  <c r="I109" i="5"/>
  <c r="I107" i="5"/>
  <c r="D116" i="5"/>
  <c r="D113" i="5"/>
  <c r="C115" i="5"/>
  <c r="C114" i="5"/>
  <c r="C113" i="5"/>
  <c r="D111" i="5"/>
  <c r="C112" i="5"/>
  <c r="C111" i="5"/>
  <c r="D109" i="5"/>
  <c r="C110" i="5"/>
  <c r="C109" i="5"/>
  <c r="D107" i="5"/>
  <c r="C108" i="5"/>
  <c r="C107" i="5"/>
  <c r="E91" i="5"/>
  <c r="E90" i="5"/>
  <c r="E89" i="5"/>
  <c r="E88" i="5"/>
  <c r="E87" i="5"/>
  <c r="E86" i="5"/>
  <c r="E85" i="5"/>
  <c r="E84" i="5"/>
  <c r="E83" i="5"/>
  <c r="E82" i="5"/>
  <c r="D155" i="5" l="1"/>
  <c r="N142" i="5"/>
  <c r="I142" i="5"/>
  <c r="D142" i="5"/>
  <c r="N129" i="5"/>
  <c r="I129" i="5"/>
  <c r="D129" i="5"/>
  <c r="N116" i="5"/>
  <c r="I116" i="5"/>
  <c r="E81" i="5" l="1"/>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l="1"/>
  <c r="E20" i="5"/>
  <c r="E19" i="5"/>
  <c r="E18" i="5"/>
  <c r="E17" i="5"/>
  <c r="E16" i="5"/>
  <c r="E15" i="5"/>
  <c r="E14" i="5"/>
  <c r="E13" i="5"/>
  <c r="E12" i="5"/>
  <c r="E8" i="5"/>
  <c r="E11" i="5" l="1"/>
  <c r="E10" i="5"/>
  <c r="E9" i="5"/>
  <c r="E7" i="5"/>
  <c r="E6" i="5"/>
  <c r="E5" i="5"/>
  <c r="E4" i="5"/>
  <c r="E3" i="5"/>
  <c r="E2" i="5"/>
</calcChain>
</file>

<file path=xl/sharedStrings.xml><?xml version="1.0" encoding="utf-8"?>
<sst xmlns="http://schemas.openxmlformats.org/spreadsheetml/2006/main" count="457" uniqueCount="139">
  <si>
    <t xml:space="preserve"> Instituo Politécnico Nacional.</t>
  </si>
  <si>
    <t>Escuela Superior de Cómputo.</t>
  </si>
  <si>
    <t>Materia: Administración Financiera.</t>
  </si>
  <si>
    <t>Docente: Eduardo Rodríguez Flores.</t>
  </si>
  <si>
    <t>Alumno: Mario Alberto Miranda Sandoval.</t>
  </si>
  <si>
    <t>Grupo: 2CM10</t>
  </si>
  <si>
    <t>Tema: Ranking De Empresas (Práctica 2).</t>
  </si>
  <si>
    <t>Historia.</t>
  </si>
  <si>
    <t>Empresa.</t>
  </si>
  <si>
    <t>Alfa S.A. de C.V.</t>
  </si>
  <si>
    <t>El Grupo Monterrey se originó con la fundación en la ciudad de Monterrey de Cervecería Cuauhtémoc en 1890, por Isaac Garza Garza y otros empresarios regiomontanos. En 1936, las tenedoras familiares fueron divididas en dos grupos industriales. Uno de ellos, Valores Industriales S. A. (Visa), estableció Hojalata y Lámina S.A. (Hylsa) para fabricar la hoja de acero para las corcholatas de sus bebidas durante la Segunda Guerra Mundial, cuando Estados Unidos cortó los suministros de acero a México para satisfacer sus propias necesidades. Hylsa se convirtió en la mayor acerería privada de México, un complejo integrado con actividades desde la minería y el procesamiento del mineral de hierro, hasta la lámina de acero. En 1957, Hylsa patentó un sistema de producción basado en la técnica de la reducción directa, conocido como fierro esponja.</t>
  </si>
  <si>
    <t>América Móvil.</t>
  </si>
  <si>
    <r>
      <rPr>
        <sz val="11"/>
        <color rgb="FF222222"/>
        <rFont val="Courier New"/>
        <family val="3"/>
      </rPr>
      <t>Fue fundada en septiembre de 2000 como una empresa derivada de Telmex, proveedor líder de servicios telefónicos locales y de larga distancia en México. El spin-off se implementó mediante un procedimiento de la Ley General de Sociedades Mercantiles (México) denominado escisión. Las acciones de la compañía fueron entregadas a los accionistas de Telmex el 7 de febrero de 2001. En 1999, comenzó a adquirir subsidiarias internacionales e invertir en operaciones en Brasil. Realizó adquisiciones significativas en América Latina y el Caribe durante los últimos 10 años. En diciembre de 2006, los accionistas aprobaron la fusión con Amtel. Como resultado de la fusión, asumió el endeudamiento neto de Amtel, que se refinanció en enero de 2007. La fusión también aumentó la cantidad que puede utilizar según las reglas fiscales mexicanas (cuenta de utilidad fiscal neta, o “CUFIN”) para recomprar acciones o pagar dividendos sin incurrir en impuestos adicionales.</t>
    </r>
    <r>
      <rPr>
        <sz val="11"/>
        <color rgb="FF222222"/>
        <rFont val="Arial"/>
        <family val="2"/>
      </rPr>
      <t xml:space="preserve">
</t>
    </r>
  </si>
  <si>
    <t>Axtel</t>
  </si>
  <si>
    <t>Axtel S.A.B de C.V. es una empresa de telecomunicaciones mexicana que atiende tanto a los mercados empresarial y de gobierno como pequeños negocios y residenciales. A través de su marca Alestra ofrece servicios empresariales y de gobierno. A través de su marca Axtel brinda servicios para mercado masivo y pequeños negocios.
Axtel, S.A.B. de C.V. se crea en 1994 y surge a partir de la fusión de dos organizaciones mexicanas, con infraestructura y capacidades complementarias: Alestra y Axtel. De esta forma, la nueva Axtel se convirtió en una compañía subsidiaria de ALFA, quien posee el 51% de su capital y actualmente cuenta con una infraestructura de red de 39 mil kilómetros y 6 mil 500 metros cuadrados de piso blanco, que soportan su portafolio.
La principal fortaleza de Axtel es la capacidad de atender con una robusta oferta de servicios de Tecnologías de Información y Comunicación, al mercado empresarial, de gobierno, pequeños negocios y masivo, apoyada por el respaldo de sus dos marcas comerciales Alestra y Axtel.</t>
  </si>
  <si>
    <t>Cablevisión</t>
  </si>
  <si>
    <t>El 3 de octubre de 1960, es fundada la empresa Cablevisión con un grupo de 10 personas lideradas por el arquitecto Benjamín Burillo Pérez.
Para el año de 1969 la Secretaría de Comunicaciones y Transportes le otorga a la empresa el permiso provisional para la operación de 124 km de cable coaxial en la Colonia Roma, para ese año la empresa ya contaba con 300 suscriptores.
Ese mismo año Cablevisión pasa a formar parte de Grupo Televisa del empresario Emilio Azcárraga Milmo.
En 2006 adquiere el 49 % de participación de Cablemás y participación del 50 % de TVI (Cablevisión Noreste) de Grupo Multimedios.
Para 2007 adquiere a la compañía Bestel. El 31 de octubre de 2014, Cablevisión es relanzado como izzi para unificar a sus productos bajo una sola marca. Para fortalecerse como empresa, adquirió 5 proveedoras de televisión de alcance nacional, como Cablemás en 2011, Cablecom en 2013 y Telecable en 2015.
En 2016 adquiere el 50% restante de las acciones de TVI, pertenecientes a Grupo Multimedios.</t>
  </si>
  <si>
    <t>Carso.</t>
  </si>
  <si>
    <r>
      <rPr>
        <sz val="11"/>
        <color theme="1"/>
        <rFont val="Courier New"/>
        <family val="3"/>
      </rPr>
      <t xml:space="preserve">En 1980 la Compañía se constituyó como Grupo Galas, S.A. en México, D.F. En 1982 cambió su denominación por la de Grupo Inbursa, S.A. de C.V. Entre 1980 y 1990, la Compañía adquirió la mayoría de las acciones de Cigatam, Artes Gráficas Unidas, Fábricas de Papel Loreto y Peña Pobre, Galas de México, S.A. de C.V., Sanborns Hnos., Empresas Frisco, S.A. de C.V., Industrias Nacobre, S.A. de C.V. y Porcelanite Holding, S.A. de C.V.  En Mayo de 1990 la Sociedad cambió su denominación por la de Grupo Carso, S.A. de C.V. y en junio se llevó a cabo una colocación de acciones de la Emisora en la Bolsa Mexicana de Valores. 
El 20 de Diciembre de 1990 Carso, junto con Southwestern Bell International Holding Corp., France Cables Et Radio y un grupo de inversionistas, adquirieron el control de Telmex, mediante licitación pública. 
De 1991 a 1995 Carso adquirió el 35% de las acciones de Compañía Hulera Euzkadi, S.A. de C.V., la mayoría de las acciones de Grupo Condumex, adquirió Grupo Aluminio, S.A. de C.V. y casi la totalidad de las acciones de General Tire de México, S.A. de C.V.Carso se escinde en Carso Global Telecom, S.A. de C.V. y transfiere las acciones de su propiedad en Telmex. Adquiere el 80% del capital de Sears México, mientras Sears Roebuck mantiene una participación del 15%. Desinvierte sus activos de la fabricación de papel en Loreto y Peña Pobre S.A. de C.V. y en la industria llantera y adquiere Conductores Latincasa, S.A. de C.V. Se reestructura Philip Morris México, compañia en la que Carso participa con el 49.9%. 
</t>
    </r>
    <r>
      <rPr>
        <sz val="11"/>
        <color theme="1"/>
        <rFont val="Calibri"/>
        <family val="2"/>
        <scheme val="minor"/>
      </rPr>
      <t xml:space="preserve">
</t>
    </r>
  </si>
  <si>
    <t>MAXCOM</t>
  </si>
  <si>
    <t>Maxcom fue fundada en 1996 por un grupo de empresarios e inversionistas. Sus principales accionistas son Bank of América, la Familia Vázquez Arroyo, la Familia Aguirre y otro grupo de inversores mexicanos.En 1997 la empresa obtuvo la primera licitación para ofrecer servicios de telefonía local y de larga distancia en el Distrito Federal y el Golfo de México. Esta concesión tiene una vigencia de 30 años.
En 1999, el entonces presidente, Ernesto Zedillo, hizo la primera llamada desde las instalaciones de Maxcom en la ciudad de Puebla a las oficinas corporativas en la Ciudad de México.
En 2001, la firma extendió sus operaciones a nivel nacional y fue hasta 2007 cuando realizó su oferta pública de acciones en la Bolsa Mexicana de Valores. Ese mismo año cambió su nombre a Maxcom Telecomunicaciones.</t>
  </si>
  <si>
    <t>MegaCable</t>
  </si>
  <si>
    <t>En el año de 1978, un grupo de empresarios forma la entidad Visión por Cable de Sonora (Vicason) y Visión por Cable de Sinaloa(Vicasin). En 1982, inicia operaciones con el nombre de Televisión por Cable en las ciudades de Guasave, Sinaloa y Navojoa, Sonora. Asimismo, de 1983 a 1990 se suman cuatro ciudades más, incluyendo Los Mochis y Hermosillo. En 1992 se adquirió la concesión para operar en Guadalajara. En este año se unificó el nombre de la empresa a Visión por Cable; el cual cambia en 1995 como Megacable. Tlaquepaque y Tonalá , Jalisco; y Ciudad Juárez, Chihuahua, se unen a la red. También se inician operaciones en Tepic, Nayarit. Posteriormente se unen Xalapa y Veracruz, Veracruz, y se hace una sociedad con la empresa concesionaria que trabaja en Tlacotalpan y Cosamaloapan, en el mismo estado. En este año, el Corporativo de Grupo Megacable cambia sus oficinas de la ciudad de Los Mochis a Guadalajara.
Megacable crea en 1997 canales de producción local para Guadalajara, Los Mochis y Culiacán, bajo el nombre Megacanal. Asimismo, inicia Megared en Guadalajara, ofreciendo Internet por cable.
En 1998 se comienza a dar el servicio en Escuinapa, El Rosario, El Fuerte y Navolato de Sinaloa; Puebla y Cholula, en Puebla. Megacable adquiere el total de las empresas que dan servicio en Tlacotalpan y Cosamaloapan en Veracruz. En ese año nace el canal Videorola, un canal musical con perfil grupero y de banda mexicana en televisión.
En el año 2000 se hacen las primeras pruebas para otorgar servicios de redes privadas virtuales, para proveer servicio a clientes corporativos, con la empresa Metrocarrier. Se pone en línea el Portal Megared, un portal multimedia de banda ancha en México, con noticias, servicios y entretenimiento, para los suscriptores de Megared; el cual está disponible en diez ciudades de la red Megacable.
En 2003 se lanza en Guadalajara, Puebla y Veracruz el servicio Megacable Digital; el cual se amplía en 2004 a las ciudades de Hermosillo, Obregón, Culiacán, Mazatlán, Tepic , Xalapa y posteriormente a más ciudades.</t>
  </si>
  <si>
    <t>Televisa</t>
  </si>
  <si>
    <t>Todo comienza en 1930 con la visión empresarial de Emilio Azcárraga Vidaurreta, quien fundó la XEW "La Voz de la América Latina desde México", primera radiodifusora con cobertura nacional. Posteriormente ante los cambios tecnológicos mundiales surgieron importantes adelantos en medios electrónicos, hecho que  lo alistó  para emprender un nuevo reto: la televisión. En 1955, Emilio Azcárraga Vidaurreta y los propietarios de XHTV Canal 4 y XHGC Canal 5, deciden fusionarse para colocar la infraestructura necesaria y llevar la señal a todos los rincones del país, formando Telesistema Mexicano.Fue hasta  el 8 de enero de 1973 cuando Independiente de México y Telesistema Mexicano se fusionaron para dar nacimiento a Televisa (Televisión Vía Satélite). Bajo el liderazgo de Emilio Azcárraga Milmo, su estrategia de negocio fue un proceso acelerado de internacionalización. En 1976, Televisa exportaba sus contenidos a Univisión, lo que permitió llegar al público de habla hispana más allá de las fronteras. El crecimiento de la empresa había sido indiscutible desde su creación y, a principios de la década de 1990, Televisa entró a cotizar en la Bolsa Mexicana de Valores y para el año de 1993 en la Bolsa de Nueva York, dándole mayor solidez. En 1997 asume la presidencia Emilio Azcárraga Jean, trayendo consigo una ola de innovación y crecimiento que han posicionado a Televisa como una empresa que se mantiene a la vanguardia en su oferta de contenido y plataformas de distribución. Hoy, la empresa ha extendido sus horizontes hacia otros mercados, basándose en una estrategia de diversificación en distintas líneas de negocio.</t>
  </si>
  <si>
    <t>TELMEX</t>
  </si>
  <si>
    <t>Teléfonos de México fue fundado en 1947 cuando el entonces presidente Miguel Aleman fucionó a las empresas Ericsson en México y a la International Telephone and Telegraph Company, con lo cual se convirtió en el único proveedor de servicios telefónicos en el país. En 1990 el presidente de México Carlos Salinas de Gortari decidió comenzar un proceso de privatización. Se presentaron varios grupos de inversionistas formados por empresas nacionales e internacionales, resultando ganador el consorcio creado por Carlos Slim, France Telecom y SBC Communications entre otros pequeños inversionistas, pero éste consorcio se apoderó del 53% y al ser el accionista mayoritario por comprar las acciones de la Bolsa con empresas fantasma, compró un restante dejando al fundador con el 31% de las acciones. Después de su privatización Telmex comenzó con un plan de inversión en nueva tecnología, fibra óptica, y cobertura total del país. En 1997 se abrió el mercado mexicano de la telefonía, con lo cual entraron AT&amp;T, MCI y Axtel, entre otras, pero ninguna logró afectar seriamente a Telmex. Telmex y la Telefonía Móvil (Celular) A principios de los años 90's en México comenzaron a surgir muchas compañías que ofrecían servicios de telefonía móvil, para 1993 Iusacell se había convertido en el líder tras comprar varios operadores regionales. Telmex no tenía inversiones en este negocio, así que decidieron entrar al mercado con la empresa Radio Móvil Dipsa, subsidiaria de DIPSA empresa encargada de, entre otras cosas, imprimir la sección amarilla, con la marca Telcel</t>
  </si>
  <si>
    <t>TV Azteca</t>
  </si>
  <si>
    <t>Fue fundada el 2 de agosto de 1993, después de permanecer más de veinte años bajo la administración del Estado, el Canal 13 de televisión pasa nuevamente al sector privado. Son «desincorporados» los canales 7 y 13, junto con sus repetidoras en la República y el canal 2 de Chihuahua. Aunque Imevisión también poseía el canal 22 del Distrito Federal, éste no entró en el paquete de privatización por petición popular de intelectuales y fue entregado al Conaculta.
Para efectuar la «desincorporación», el gobierno tenía que regularizar la situación legal de los canales, pues muchos de ellos, especialmente los de la red 7, tienen el estatuto de permisionados,lo cual impide formalmente su venta debido a que la legislación de la materia señala que solamente los canales concesionados pueden cederse en operaciones de compraventa.
Por ello crea, entonces, una serie de empresas parestatales, la más grande llamada Televisión Azteca, para que se conviertan en concesionarias de los canales que conforman las redes 7 y 13. Al final pone a la venta dos cadenas nacionales, una con 78 canales (la del 7) y la otra con 90 canales (la del 13).</t>
  </si>
  <si>
    <t>Total de Activos</t>
  </si>
  <si>
    <t>(Millones de pesos)</t>
  </si>
  <si>
    <t>Activos Circulantes</t>
  </si>
  <si>
    <t>(Millones de Pesos)</t>
  </si>
  <si>
    <t xml:space="preserve">Inventarios </t>
  </si>
  <si>
    <t>Cuentas Por Cobrar</t>
  </si>
  <si>
    <t>ALFA</t>
  </si>
  <si>
    <t>América Móvil</t>
  </si>
  <si>
    <t>Carso</t>
  </si>
  <si>
    <t>Mega Cable</t>
  </si>
  <si>
    <t>AXTEL</t>
  </si>
  <si>
    <t xml:space="preserve">Mega Cable </t>
  </si>
  <si>
    <t xml:space="preserve">AXTEL </t>
  </si>
  <si>
    <t>Datos.</t>
  </si>
  <si>
    <t>Activos No Circulantes</t>
  </si>
  <si>
    <t>Activos Fijos</t>
  </si>
  <si>
    <t>Activos Diferidos</t>
  </si>
  <si>
    <t>Pasivos Corto Plazo</t>
  </si>
  <si>
    <t>Pasivos Largo Plazo</t>
  </si>
  <si>
    <t>Capital Contable</t>
  </si>
  <si>
    <t>Capital Social</t>
  </si>
  <si>
    <t>Ventas</t>
  </si>
  <si>
    <t xml:space="preserve">Costo de Ventas </t>
  </si>
  <si>
    <t>Utilidad Ant. Impuestos</t>
  </si>
  <si>
    <t>Utilidad del Ejercicio</t>
  </si>
  <si>
    <t xml:space="preserve">ALFA </t>
  </si>
  <si>
    <t>Razón.</t>
  </si>
  <si>
    <t>Cálculo.</t>
  </si>
  <si>
    <t>Mide.</t>
  </si>
  <si>
    <t>Interpretación.</t>
  </si>
  <si>
    <t>Gráfica.</t>
  </si>
  <si>
    <t>La empresa MAXCOM es la que mejor cubre sus deudas a corto plazo, o mejor dicho por cada peso de pasivo circulante, tiene 11 pesos de activo circulante para pagar sin ningún problema.</t>
  </si>
  <si>
    <t>Mide la capacidad de una empresa para cubrir sus obligaciones financieras de corto plazo utilizando sus activos líquidos sin considerar el inventario.</t>
  </si>
  <si>
    <t xml:space="preserve">Mide la capacidad de una empresa para cubrir sus obli-gaciones financieras de corto plazo o el número de unidades monetarias de activo circulante que tiene la empresa para pagar cada unidad monetaria de pasivo circulante. </t>
  </si>
  <si>
    <t>La empresa TELMEX es la que peor cubre sus deudas a corto plazo, o mejor dicho por cada peso de pasivo circulante tiene 0.42 pesos de activo circulante, menos de la mitad del peso de activo.</t>
  </si>
  <si>
    <t>La empresa MAXCOM es la que de mejor manera puede hacer frente a las deudas sin considerar sus inventarios, en otras palabras tiene una buena liquidez.</t>
  </si>
  <si>
    <t>La empresa TELMEX es la que de peor manera hace frente a las deudas sin contar con su inventario, lo cual habla de una liquidez demasiado baja.</t>
  </si>
  <si>
    <t>Razón Rápida.          (Veces)              (Activo Circulante/Pasivo Circulante)</t>
  </si>
  <si>
    <t>Razón Circulante. (Veces)     ((Activo Circulante-Inventarios)/Pasivo Circulante)</t>
  </si>
  <si>
    <t>Deuda Total.        (Pasivo Total/Activo Total)</t>
  </si>
  <si>
    <t xml:space="preserve">Mide la proporción de los activos totales que financian los acreedores de la empresa. Cuanto mayor es el índice, mayor es el monto del dinero de otras personas que se usa para generar utilidades. </t>
  </si>
  <si>
    <t>Total Pasivos</t>
  </si>
  <si>
    <t>Las empresas Mega Cable y Cablevisión es la que menor deuda tiene, ya que necesita solo de 0.31 pesos de prestamo para generar un peso de utilidad.</t>
  </si>
  <si>
    <t>La empresa que tiene mayor deuda en esta comparación es TV Azteca, ya que necesita 0.88 pesos de prestamo para generar un peso de utilidad.</t>
  </si>
  <si>
    <t>Deuda A Capital. (Activo Total/Capital Total)</t>
  </si>
  <si>
    <r>
      <rPr>
        <b/>
        <sz val="14"/>
        <color theme="1"/>
        <rFont val="Courier New"/>
        <family val="3"/>
      </rPr>
      <t>El número de unidades monetarias que se adeudan por cada unidad monetaria que se tiene de capital.</t>
    </r>
    <r>
      <rPr>
        <b/>
        <sz val="11"/>
        <color theme="1"/>
        <rFont val="Courier New"/>
        <family val="3"/>
      </rPr>
      <t xml:space="preserve"> </t>
    </r>
  </si>
  <si>
    <t>La empresa que mantiene un menor de adeudo con respecto a  a su capital es Mega Cable, ya que tiene 1.20 pesos de adeudo por un peso de capital.</t>
  </si>
  <si>
    <t>La empresa que mantiene un mayor adeudo con respecto a su capital es TV Azteca, ya que tiene 8.37 pesos de adeudo por 1 peso de capital.</t>
  </si>
  <si>
    <t>Rotación de Inventario.  (Ventas/Inventario)</t>
  </si>
  <si>
    <t>El número de veces que se vende el inventario.</t>
  </si>
  <si>
    <t>La empresa MAXCOM es la que mejor rota sus inventarios haciendoló 701 veces, aunque este número es bueno cabe resaltar que tanto las ventas como el inventario ambos son pequeños por eso este número gigantesco.</t>
  </si>
  <si>
    <t>La empresa TV Azteca es la que peor rota sus inventarios haciendolo 5 veces, lo cual da a entender que existe una falta de ventas para obtener la liquidez deseada.</t>
  </si>
  <si>
    <t>Rotación de Activo Total. (Ventas/Activos Totales)</t>
  </si>
  <si>
    <t>Mide el número de veces que se usan los activos para generan ventas.</t>
  </si>
  <si>
    <t>La empresa ALFA es la que mejor utiliza sus activos para generar ventas, esto quiere decir que por cada activo que tiene en uso genera casi 1 peso.</t>
  </si>
  <si>
    <t>Mientras que Televisa es la que peor los usa, ya que esta por cada activo en uso genera solo 0.34 pesos.</t>
  </si>
  <si>
    <t>Rendimiento Sobre Capital Contable. (Utilidad Neta/Capital Contable)</t>
  </si>
  <si>
    <t>Mide el porcentaje que se ha invertido que se convierte en utilidad.</t>
  </si>
  <si>
    <t>La empresa que tiene un mejor rendimiento sobre el capital es AXTEL,ya que este genera un 30% de las inversiones en ganancias.</t>
  </si>
  <si>
    <t>La empresa que tiene el peor rendimiento sobre el capital es MAXCOM, ya que sus inversiones en vez de generar ganancias generan perdidas.</t>
  </si>
  <si>
    <t>Rentabilidad Sobre Activos. (Utilidad Neta/Activos Totales)</t>
  </si>
  <si>
    <t>Porcentaje de la inversión en los activos que se convierte en utilidad.</t>
  </si>
  <si>
    <t>Mega Cable es la mejor empresa que mejor aprovecha sus activos ya que de estos el 14% se convierten en ganancias.</t>
  </si>
  <si>
    <t>MAXCOM es la empresa que peor aprovecha sus activos ya que sus inversiones no generarn ganancias, sino perdidas del 10%, esto genera que se deba checar el estado y funcionamiento de cada activo.</t>
  </si>
  <si>
    <t>Margen de Utilidad. (Utilidad Neta/Ventas)</t>
  </si>
  <si>
    <t>Mide el porcentaje de las ventas que se ha convertido en Utilidad.</t>
  </si>
  <si>
    <t>Mega Cable resulto ser la empresa que de mejor manera ha sabido como apreovechar sus ventas y convertirlas en ganancias, siguiendo a la perfección el concepto de venta.</t>
  </si>
  <si>
    <t>MAXCOM termino siendo la peor empresa de este criterio ya que de todas sus ventas se genera una perdida del 24%, lo cual quiere decir que hay falta de liquidez y falla en el producto.</t>
  </si>
  <si>
    <t>Tipo</t>
  </si>
  <si>
    <t>Razón</t>
  </si>
  <si>
    <t>Valor</t>
  </si>
  <si>
    <t>Cálculo</t>
  </si>
  <si>
    <t>Total</t>
  </si>
  <si>
    <t>Razón Rapida</t>
  </si>
  <si>
    <t>Razón Cirulante</t>
  </si>
  <si>
    <t>Liquidez</t>
  </si>
  <si>
    <t>Índice</t>
  </si>
  <si>
    <t>Deuda Total</t>
  </si>
  <si>
    <t>Deuda A Capital</t>
  </si>
  <si>
    <t>Deuda</t>
  </si>
  <si>
    <t>Rotación del inventario</t>
  </si>
  <si>
    <t>Rotación de activo total</t>
  </si>
  <si>
    <t>Rotación</t>
  </si>
  <si>
    <t>Rentabilidad.</t>
  </si>
  <si>
    <t>Rendimiento Sobre Capital</t>
  </si>
  <si>
    <t>Rendimiento Sobre Activos</t>
  </si>
  <si>
    <t>Margen de Utilidad</t>
  </si>
  <si>
    <t>Empresa ALFA</t>
  </si>
  <si>
    <t>Id Tipo</t>
  </si>
  <si>
    <t>Puntos de la Empresa</t>
  </si>
  <si>
    <t>Empresa América Móvil</t>
  </si>
  <si>
    <t>Empresa AXTEL</t>
  </si>
  <si>
    <t>Empresa Cablevisión</t>
  </si>
  <si>
    <t>Empresa Carso</t>
  </si>
  <si>
    <t>Empresa MAXCOM</t>
  </si>
  <si>
    <t>Empresa Mega Cable</t>
  </si>
  <si>
    <t>Empresa Televisa</t>
  </si>
  <si>
    <t>Empresa TELMEX</t>
  </si>
  <si>
    <t>Empresa TV Azteca</t>
  </si>
  <si>
    <t>Ranking.</t>
  </si>
  <si>
    <t>Lugar</t>
  </si>
  <si>
    <t>Empresa</t>
  </si>
  <si>
    <t>Puntos</t>
  </si>
  <si>
    <t>Rentabilidad</t>
  </si>
  <si>
    <t>Activos</t>
  </si>
  <si>
    <t>Pasivos</t>
  </si>
  <si>
    <t>Capital</t>
  </si>
  <si>
    <t>Utilidad</t>
  </si>
  <si>
    <t>Conclusiones.</t>
  </si>
  <si>
    <t>En conclusión, esta práctica fue interesante para poder analizar de cerca a empresas de la vida real, y observar que todo lo que se aprende en la materia de manera real se aplica, un punto importante a destacar en este ranking es el como el darle el valor a un apartado puede generar que los lugares varien en demsia, ya que al inicio de este parecía que ALFA y América Móvil pelearían por ganar la cima de este, pero no fue así ya que empresas más pequeñas pero con un mejor desempeño en las rotaciones (donde se le dio más puntos a los criterios) hicieron que estas dominarán la cima,  otro punto importante a destacar es que a empresas más grandes corresponden activos y pasivos más grandes, además que el uso de los pasivos debe ser de mayor nivel por lo que si no se cumple esto entonces los pasivos sin ningun problema lograran superar a los activos, situación que se resentira en las ventas generando falta de liquidez y utilidad, a comparación de las empresas más pequeñas que estos factores son más fáciles de cubrir sin importar mucho.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</si>
</sst>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43" formatCode="_-* #,##0.00_-;\-* #,##0.00_-;_-* &quot;-&quot;??_-;_-@_-"/>
  </numFmts>
  <fonts count="16" x14ac:knownFonts="1">
    <font>
      <sz val="11"/>
      <color theme="1"/>
      <name val="Calibri"/>
      <family val="2"/>
      <scheme val="minor"/>
    </font>
    <font>
      <sz val="11"/>
      <color theme="1"/>
      <name val="Courier New"/>
      <family val="3"/>
    </font>
    <font>
      <b/>
      <sz val="12"/>
      <color theme="4" tint="-0.499984740745262"/>
      <name val="Courier New"/>
      <family val="3"/>
    </font>
    <font>
      <sz val="11"/>
      <color rgb="FF222222"/>
      <name val="Arial"/>
      <family val="2"/>
    </font>
    <font>
      <sz val="11"/>
      <color rgb="FF222222"/>
      <name val="Courier New"/>
      <family val="3"/>
    </font>
    <font>
      <sz val="11"/>
      <color theme="1"/>
      <name val="Calibri"/>
      <family val="2"/>
      <scheme val="minor"/>
    </font>
    <font>
      <sz val="10"/>
      <color theme="4" tint="-0.499984740745262"/>
      <name val="Courier New"/>
      <family val="3"/>
    </font>
    <font>
      <b/>
      <sz val="11"/>
      <color theme="4" tint="-0.499984740745262"/>
      <name val="Courier New"/>
      <family val="3"/>
    </font>
    <font>
      <b/>
      <sz val="12"/>
      <color theme="1"/>
      <name val="Courier New"/>
      <family val="3"/>
    </font>
    <font>
      <b/>
      <sz val="14"/>
      <color theme="1"/>
      <name val="Courier New"/>
      <family val="3"/>
    </font>
    <font>
      <b/>
      <sz val="13"/>
      <color theme="1"/>
      <name val="Courier New"/>
      <family val="3"/>
    </font>
    <font>
      <b/>
      <sz val="10"/>
      <color theme="4" tint="-0.499984740745262"/>
      <name val="Courier New"/>
      <family val="3"/>
    </font>
    <font>
      <sz val="10"/>
      <color theme="1"/>
      <name val="Courier New"/>
      <family val="3"/>
    </font>
    <font>
      <b/>
      <sz val="11"/>
      <color theme="1"/>
      <name val="Courier New"/>
      <family val="3"/>
    </font>
    <font>
      <sz val="12"/>
      <color theme="1"/>
      <name val="Courier New"/>
      <family val="3"/>
    </font>
    <font>
      <b/>
      <sz val="14"/>
      <color theme="4" tint="-0.499984740745262"/>
      <name val="Courier New"/>
      <family val="3"/>
    </font>
  </fonts>
  <fills count="12">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rgb="FFFF3B3B"/>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4" tint="0.79998168889431442"/>
        <bgColor indexed="64"/>
      </patternFill>
    </fill>
  </fills>
  <borders count="1">
    <border>
      <left/>
      <right/>
      <top/>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106">
    <xf numFmtId="0" fontId="0" fillId="0" borderId="0" xfId="0"/>
    <xf numFmtId="0" fontId="0" fillId="3" borderId="0" xfId="0" applyFill="1"/>
    <xf numFmtId="0" fontId="1" fillId="3" borderId="0" xfId="0" applyFont="1" applyFill="1"/>
    <xf numFmtId="0" fontId="1" fillId="0" borderId="0" xfId="0" applyFont="1" applyAlignment="1">
      <alignment vertical="top" wrapText="1"/>
    </xf>
    <xf numFmtId="0" fontId="2" fillId="0" borderId="0" xfId="0" applyFont="1"/>
    <xf numFmtId="0" fontId="6" fillId="2" borderId="0" xfId="0" applyFont="1" applyFill="1"/>
    <xf numFmtId="0" fontId="11" fillId="2" borderId="0" xfId="0" applyFont="1" applyFill="1"/>
    <xf numFmtId="0" fontId="1" fillId="2" borderId="0" xfId="0" applyFont="1" applyFill="1"/>
    <xf numFmtId="44" fontId="1" fillId="2" borderId="0" xfId="2" applyFont="1" applyFill="1"/>
    <xf numFmtId="0" fontId="6" fillId="6" borderId="0" xfId="0" applyFont="1" applyFill="1"/>
    <xf numFmtId="0" fontId="1" fillId="6" borderId="0" xfId="0" applyFont="1" applyFill="1"/>
    <xf numFmtId="44" fontId="1" fillId="6" borderId="0" xfId="2" applyFont="1" applyFill="1"/>
    <xf numFmtId="0" fontId="11" fillId="6" borderId="0" xfId="0" applyFont="1" applyFill="1"/>
    <xf numFmtId="3" fontId="1" fillId="6" borderId="0" xfId="0" applyNumberFormat="1" applyFont="1" applyFill="1"/>
    <xf numFmtId="0" fontId="0" fillId="6" borderId="0" xfId="0" applyFill="1"/>
    <xf numFmtId="0" fontId="2" fillId="8" borderId="0" xfId="0" applyFont="1" applyFill="1" applyAlignment="1">
      <alignment horizontal="center" vertical="center"/>
    </xf>
    <xf numFmtId="0" fontId="2" fillId="9" borderId="0" xfId="0" applyFont="1" applyFill="1" applyAlignment="1">
      <alignment horizontal="center" vertical="center"/>
    </xf>
    <xf numFmtId="0" fontId="2" fillId="3" borderId="0" xfId="0" applyFont="1" applyFill="1" applyAlignment="1"/>
    <xf numFmtId="0" fontId="2" fillId="9" borderId="0" xfId="0" applyFont="1" applyFill="1" applyAlignment="1"/>
    <xf numFmtId="0" fontId="1" fillId="0" borderId="0" xfId="0" applyFont="1"/>
    <xf numFmtId="9" fontId="1" fillId="11" borderId="0" xfId="3" applyFont="1" applyFill="1"/>
    <xf numFmtId="0" fontId="1" fillId="11" borderId="0" xfId="0" applyFont="1" applyFill="1"/>
    <xf numFmtId="9" fontId="1" fillId="8" borderId="0" xfId="3" applyFont="1" applyFill="1"/>
    <xf numFmtId="0" fontId="1" fillId="8" borderId="0" xfId="0" applyFont="1" applyFill="1"/>
    <xf numFmtId="10" fontId="1" fillId="2" borderId="0" xfId="1" applyNumberFormat="1" applyFont="1" applyFill="1"/>
    <xf numFmtId="10" fontId="1" fillId="2" borderId="0" xfId="0" applyNumberFormat="1" applyFont="1" applyFill="1"/>
    <xf numFmtId="9" fontId="1" fillId="10" borderId="0" xfId="3" applyFont="1" applyFill="1"/>
    <xf numFmtId="0" fontId="1" fillId="10" borderId="0" xfId="0" applyFont="1" applyFill="1"/>
    <xf numFmtId="43" fontId="0" fillId="8" borderId="0" xfId="0" applyNumberFormat="1" applyFill="1"/>
    <xf numFmtId="43" fontId="1" fillId="0" borderId="0" xfId="0" applyNumberFormat="1" applyFont="1"/>
    <xf numFmtId="43" fontId="1" fillId="0" borderId="0" xfId="1" applyFont="1"/>
    <xf numFmtId="0" fontId="1" fillId="0" borderId="0" xfId="0" applyNumberFormat="1" applyFont="1"/>
    <xf numFmtId="0" fontId="1" fillId="0" borderId="0" xfId="1" applyNumberFormat="1" applyFont="1"/>
    <xf numFmtId="0" fontId="14" fillId="0" borderId="0" xfId="0" applyFont="1" applyAlignment="1">
      <alignment vertical="top" wrapText="1"/>
    </xf>
    <xf numFmtId="0" fontId="2" fillId="3" borderId="0" xfId="0" applyFont="1" applyFill="1" applyAlignment="1">
      <alignment horizontal="center"/>
    </xf>
    <xf numFmtId="0" fontId="2" fillId="0" borderId="0" xfId="0" applyFont="1" applyAlignment="1">
      <alignment horizontal="center" vertical="center"/>
    </xf>
    <xf numFmtId="0" fontId="1" fillId="0" borderId="0" xfId="0" applyFont="1" applyAlignment="1">
      <alignment vertical="top" wrapText="1"/>
    </xf>
    <xf numFmtId="0" fontId="0" fillId="0" borderId="0" xfId="0" applyAlignment="1">
      <alignment vertical="top" wrapText="1"/>
    </xf>
    <xf numFmtId="0" fontId="2" fillId="2" borderId="0" xfId="0" applyFont="1" applyFill="1" applyAlignment="1">
      <alignment horizontal="center" vertical="center"/>
    </xf>
    <xf numFmtId="0" fontId="1" fillId="2" borderId="0" xfId="0" applyFont="1" applyFill="1" applyAlignment="1">
      <alignment vertical="top" wrapText="1"/>
    </xf>
    <xf numFmtId="0" fontId="0" fillId="2" borderId="0" xfId="0" applyFill="1" applyAlignment="1">
      <alignment vertical="top" wrapText="1"/>
    </xf>
    <xf numFmtId="0" fontId="1" fillId="0" borderId="0" xfId="0" applyFont="1" applyAlignment="1">
      <alignment vertical="top"/>
    </xf>
    <xf numFmtId="0" fontId="2" fillId="2" borderId="0" xfId="0" applyFont="1" applyFill="1" applyAlignment="1">
      <alignment horizontal="center"/>
    </xf>
    <xf numFmtId="0" fontId="0" fillId="2" borderId="0" xfId="0" applyFill="1" applyAlignment="1">
      <alignment vertical="top"/>
    </xf>
    <xf numFmtId="0" fontId="3" fillId="0" borderId="0" xfId="0" applyFont="1" applyAlignment="1">
      <alignment vertical="top" wrapText="1"/>
    </xf>
    <xf numFmtId="44" fontId="1" fillId="6" borderId="0" xfId="2" applyFont="1" applyFill="1" applyAlignment="1">
      <alignment horizontal="center"/>
    </xf>
    <xf numFmtId="0" fontId="1" fillId="6" borderId="0" xfId="0" applyFont="1" applyFill="1" applyAlignment="1">
      <alignment horizontal="left" vertical="top"/>
    </xf>
    <xf numFmtId="43" fontId="1" fillId="6" borderId="0" xfId="1" applyFont="1" applyFill="1" applyAlignment="1">
      <alignment horizontal="left" vertical="top"/>
    </xf>
    <xf numFmtId="0" fontId="7" fillId="6" borderId="0" xfId="0" applyFont="1" applyFill="1" applyAlignment="1">
      <alignment horizontal="center"/>
    </xf>
    <xf numFmtId="0" fontId="1" fillId="5" borderId="0" xfId="0" applyFont="1" applyFill="1" applyAlignment="1">
      <alignment horizontal="left" vertical="top" wrapText="1"/>
    </xf>
    <xf numFmtId="0" fontId="0" fillId="5" borderId="0" xfId="0" applyFill="1" applyAlignment="1">
      <alignment horizontal="left" vertical="top" wrapText="1"/>
    </xf>
    <xf numFmtId="0" fontId="1" fillId="6" borderId="0" xfId="0" applyFont="1" applyFill="1" applyAlignment="1">
      <alignment horizontal="center"/>
    </xf>
    <xf numFmtId="0" fontId="0" fillId="6" borderId="0" xfId="0" applyFill="1" applyAlignment="1">
      <alignment horizontal="center"/>
    </xf>
    <xf numFmtId="0" fontId="2" fillId="6" borderId="0" xfId="0" applyFont="1" applyFill="1" applyAlignment="1">
      <alignment horizontal="center" vertical="center" wrapText="1"/>
    </xf>
    <xf numFmtId="0" fontId="9" fillId="6" borderId="0" xfId="0" applyFont="1" applyFill="1" applyAlignment="1">
      <alignment horizontal="left" vertical="top" wrapText="1"/>
    </xf>
    <xf numFmtId="9" fontId="0" fillId="6" borderId="0" xfId="3" applyFont="1" applyFill="1" applyAlignment="1">
      <alignment horizontal="right" wrapText="1"/>
    </xf>
    <xf numFmtId="0" fontId="1" fillId="4" borderId="0" xfId="0" applyFont="1" applyFill="1" applyAlignment="1">
      <alignment horizontal="left" vertical="top" wrapText="1"/>
    </xf>
    <xf numFmtId="0" fontId="2" fillId="7" borderId="0" xfId="0" applyFont="1" applyFill="1" applyAlignment="1">
      <alignment horizontal="center" vertical="center" wrapText="1"/>
    </xf>
    <xf numFmtId="0" fontId="1" fillId="7" borderId="0" xfId="0" applyFont="1" applyFill="1" applyAlignment="1">
      <alignment horizontal="center" vertical="center" wrapText="1"/>
    </xf>
    <xf numFmtId="9" fontId="1" fillId="7" borderId="0" xfId="3" applyFont="1" applyFill="1" applyAlignment="1">
      <alignment horizontal="right" vertical="center" wrapText="1"/>
    </xf>
    <xf numFmtId="9" fontId="1" fillId="7" borderId="0" xfId="3" applyFont="1" applyFill="1" applyAlignment="1">
      <alignment horizontal="right" wrapText="1"/>
    </xf>
    <xf numFmtId="0" fontId="1" fillId="7" borderId="0" xfId="0" applyFont="1" applyFill="1" applyAlignment="1">
      <alignment horizontal="center"/>
    </xf>
    <xf numFmtId="0" fontId="0" fillId="7" borderId="0" xfId="0" applyFill="1" applyAlignment="1">
      <alignment horizontal="center"/>
    </xf>
    <xf numFmtId="43" fontId="1" fillId="6" borderId="0" xfId="1" applyFont="1" applyFill="1" applyAlignment="1">
      <alignment horizontal="center"/>
    </xf>
    <xf numFmtId="0" fontId="0" fillId="4" borderId="0" xfId="0" applyFill="1" applyAlignment="1">
      <alignment horizontal="left" vertical="top" wrapText="1"/>
    </xf>
    <xf numFmtId="0" fontId="9" fillId="7" borderId="0" xfId="0" applyFont="1" applyFill="1" applyAlignment="1">
      <alignment horizontal="left" vertical="top" wrapText="1"/>
    </xf>
    <xf numFmtId="0" fontId="1" fillId="7" borderId="0" xfId="0" applyFont="1" applyFill="1" applyAlignment="1">
      <alignment horizontal="left" vertical="top" wrapText="1"/>
    </xf>
    <xf numFmtId="43" fontId="1" fillId="7" borderId="0" xfId="1" applyFont="1" applyFill="1" applyAlignment="1">
      <alignment horizontal="center"/>
    </xf>
    <xf numFmtId="0" fontId="0" fillId="6" borderId="0" xfId="0" applyFill="1" applyAlignment="1">
      <alignment horizontal="left" vertical="top" wrapText="1"/>
    </xf>
    <xf numFmtId="0" fontId="12" fillId="4" borderId="0" xfId="0" applyFont="1" applyFill="1" applyAlignment="1">
      <alignment horizontal="left" vertical="top" wrapText="1"/>
    </xf>
    <xf numFmtId="0" fontId="13" fillId="6" borderId="0" xfId="0" applyFont="1" applyFill="1" applyAlignment="1">
      <alignment horizontal="left" vertical="top" wrapText="1"/>
    </xf>
    <xf numFmtId="0" fontId="1" fillId="6" borderId="0" xfId="0" applyFont="1" applyFill="1" applyAlignment="1">
      <alignment horizontal="left" vertical="top" wrapText="1"/>
    </xf>
    <xf numFmtId="0" fontId="10" fillId="7" borderId="0" xfId="0" applyFont="1" applyFill="1" applyAlignment="1">
      <alignment horizontal="left" vertical="top" wrapText="1"/>
    </xf>
    <xf numFmtId="43" fontId="0" fillId="7" borderId="0" xfId="1" applyFont="1" applyFill="1" applyAlignment="1">
      <alignment horizontal="center"/>
    </xf>
    <xf numFmtId="0" fontId="8" fillId="7" borderId="0" xfId="0" applyFont="1" applyFill="1" applyAlignment="1">
      <alignment horizontal="left" vertical="top" wrapText="1"/>
    </xf>
    <xf numFmtId="43" fontId="0" fillId="6" borderId="0" xfId="1" applyFont="1" applyFill="1" applyAlignment="1">
      <alignment horizontal="center"/>
    </xf>
    <xf numFmtId="0" fontId="7" fillId="2" borderId="0" xfId="0" applyFont="1" applyFill="1" applyAlignment="1">
      <alignment horizontal="center"/>
    </xf>
    <xf numFmtId="0" fontId="1" fillId="4" borderId="0" xfId="0" applyFont="1" applyFill="1" applyAlignment="1">
      <alignment vertical="top" wrapText="1"/>
    </xf>
    <xf numFmtId="0" fontId="0" fillId="0" borderId="0" xfId="0" applyAlignment="1">
      <alignment horizontal="center"/>
    </xf>
    <xf numFmtId="0" fontId="7" fillId="7" borderId="0" xfId="0" applyFont="1" applyFill="1" applyAlignment="1">
      <alignment horizontal="center" vertical="center" wrapText="1"/>
    </xf>
    <xf numFmtId="0" fontId="10" fillId="6" borderId="0" xfId="0" applyFont="1" applyFill="1" applyAlignment="1">
      <alignment horizontal="left" vertical="top" wrapText="1"/>
    </xf>
    <xf numFmtId="0" fontId="8" fillId="6" borderId="0" xfId="0" applyFont="1" applyFill="1" applyAlignment="1">
      <alignment horizontal="center" vertical="center" wrapText="1"/>
    </xf>
    <xf numFmtId="0" fontId="2" fillId="9" borderId="0" xfId="0" applyFont="1" applyFill="1" applyAlignment="1">
      <alignment horizontal="center"/>
    </xf>
    <xf numFmtId="0" fontId="1" fillId="11" borderId="0" xfId="0" applyFont="1" applyFill="1" applyAlignment="1">
      <alignment horizontal="center" vertical="center" wrapText="1"/>
    </xf>
    <xf numFmtId="9" fontId="1" fillId="7" borderId="0" xfId="3" applyFont="1" applyFill="1" applyAlignment="1">
      <alignment horizontal="right"/>
    </xf>
    <xf numFmtId="0" fontId="1" fillId="0" borderId="0" xfId="0" applyFont="1" applyAlignment="1">
      <alignment horizontal="center" vertical="center" wrapText="1"/>
    </xf>
    <xf numFmtId="43" fontId="1" fillId="0" borderId="0" xfId="0" applyNumberFormat="1" applyFont="1" applyAlignment="1">
      <alignment horizontal="center" vertical="center" wrapText="1"/>
    </xf>
    <xf numFmtId="0" fontId="1" fillId="2" borderId="0" xfId="0" applyFont="1" applyFill="1" applyAlignment="1">
      <alignment horizontal="center" vertical="center"/>
    </xf>
    <xf numFmtId="0" fontId="1" fillId="8" borderId="0" xfId="0" applyFont="1" applyFill="1" applyAlignment="1">
      <alignment horizontal="center" vertical="center" wrapText="1"/>
    </xf>
    <xf numFmtId="0" fontId="1" fillId="10" borderId="0" xfId="0" applyFont="1" applyFill="1" applyAlignment="1">
      <alignment horizontal="center" vertical="center" wrapText="1"/>
    </xf>
    <xf numFmtId="0" fontId="15" fillId="11" borderId="0" xfId="0" applyFont="1" applyFill="1" applyAlignment="1">
      <alignment horizontal="center" vertical="center" wrapText="1"/>
    </xf>
    <xf numFmtId="0" fontId="1" fillId="2" borderId="0" xfId="0" applyFont="1" applyFill="1" applyAlignment="1">
      <alignment horizontal="center" vertical="center" wrapText="1"/>
    </xf>
    <xf numFmtId="0" fontId="1" fillId="8" borderId="0" xfId="0" applyFont="1" applyFill="1" applyAlignment="1">
      <alignment horizontal="center" vertical="center"/>
    </xf>
    <xf numFmtId="0" fontId="2" fillId="8" borderId="0" xfId="0" applyFont="1" applyFill="1" applyAlignment="1">
      <alignment horizontal="center" vertical="center" wrapText="1"/>
    </xf>
    <xf numFmtId="0" fontId="2" fillId="8" borderId="0" xfId="0" applyFont="1" applyFill="1" applyAlignment="1">
      <alignment horizontal="center" wrapText="1"/>
    </xf>
    <xf numFmtId="0" fontId="2" fillId="8" borderId="0" xfId="0" applyFont="1" applyFill="1" applyAlignment="1">
      <alignment horizontal="center"/>
    </xf>
    <xf numFmtId="0" fontId="15" fillId="8" borderId="0" xfId="0" applyFont="1" applyFill="1" applyAlignment="1">
      <alignment horizontal="center" vertical="center" wrapText="1"/>
    </xf>
    <xf numFmtId="43" fontId="1" fillId="8" borderId="0" xfId="0" applyNumberFormat="1" applyFont="1" applyFill="1" applyAlignment="1">
      <alignment horizontal="center"/>
    </xf>
    <xf numFmtId="0" fontId="1" fillId="8" borderId="0" xfId="0" applyFont="1" applyFill="1" applyAlignment="1">
      <alignment horizontal="center"/>
    </xf>
    <xf numFmtId="43" fontId="1" fillId="11" borderId="0" xfId="0" applyNumberFormat="1" applyFont="1" applyFill="1" applyAlignment="1">
      <alignment horizontal="center"/>
    </xf>
    <xf numFmtId="0" fontId="1" fillId="11" borderId="0" xfId="0" applyFont="1" applyFill="1" applyAlignment="1">
      <alignment horizontal="center"/>
    </xf>
    <xf numFmtId="44" fontId="1" fillId="11" borderId="0" xfId="0" applyNumberFormat="1" applyFont="1" applyFill="1" applyAlignment="1">
      <alignment horizontal="center"/>
    </xf>
    <xf numFmtId="44" fontId="1" fillId="8" borderId="0" xfId="0" applyNumberFormat="1" applyFont="1" applyFill="1" applyAlignment="1">
      <alignment horizontal="center"/>
    </xf>
    <xf numFmtId="44" fontId="12" fillId="11" borderId="0" xfId="0" applyNumberFormat="1" applyFont="1" applyFill="1" applyAlignment="1">
      <alignment horizontal="center"/>
    </xf>
    <xf numFmtId="0" fontId="12" fillId="11" borderId="0" xfId="0" applyFont="1" applyFill="1" applyAlignment="1">
      <alignment horizontal="center"/>
    </xf>
    <xf numFmtId="0" fontId="14" fillId="0" borderId="0" xfId="0" applyFont="1" applyAlignment="1">
      <alignment horizontal="left" vertical="top" wrapText="1"/>
    </xf>
  </cellXfs>
  <cellStyles count="4">
    <cellStyle name="Millares" xfId="1" builtinId="3"/>
    <cellStyle name="Moneda" xfId="2" builtinId="4"/>
    <cellStyle name="Normal" xfId="0" builtinId="0"/>
    <cellStyle name="Porcentaje" xfId="3" builtinId="5"/>
  </cellStyles>
  <dxfs count="0"/>
  <tableStyles count="0" defaultTableStyle="TableStyleMedium2" defaultPivotStyle="PivotStyleLight16"/>
  <colors>
    <mruColors>
      <color rgb="FFFF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Razón Rápida</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Desarrollo!$E$2</c:f>
              <c:numCache>
                <c:formatCode>_(* #,##0.00_);_(* \(#,##0.00\);_(* "-"??_);_(@_)</c:formatCode>
                <c:ptCount val="1"/>
                <c:pt idx="0">
                  <c:v>1.1300848707488964</c:v>
                </c:pt>
              </c:numCache>
            </c:numRef>
          </c:val>
          <c:extLst>
            <c:ext xmlns:c16="http://schemas.microsoft.com/office/drawing/2014/chart" uri="{C3380CC4-5D6E-409C-BE32-E72D297353CC}">
              <c16:uniqueId val="{0000000B-AE7C-4F16-91EB-65ACC38E18C2}"/>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Desarrollo!$E$3</c:f>
              <c:numCache>
                <c:formatCode>_(* #,##0.00_);_(* \(#,##0.00\);_(* "-"??_);_(@_)</c:formatCode>
                <c:ptCount val="1"/>
                <c:pt idx="0">
                  <c:v>0.74334924399813007</c:v>
                </c:pt>
              </c:numCache>
            </c:numRef>
          </c:val>
          <c:extLst>
            <c:ext xmlns:c16="http://schemas.microsoft.com/office/drawing/2014/chart" uri="{C3380CC4-5D6E-409C-BE32-E72D297353CC}">
              <c16:uniqueId val="{0000000C-AE7C-4F16-91EB-65ACC38E18C2}"/>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Desarrollo!$E$4</c:f>
              <c:numCache>
                <c:formatCode>_(* #,##0.00_);_(* \(#,##0.00\);_(* "-"??_);_(@_)</c:formatCode>
                <c:ptCount val="1"/>
                <c:pt idx="0">
                  <c:v>0.79106939017304823</c:v>
                </c:pt>
              </c:numCache>
            </c:numRef>
          </c:val>
          <c:extLst>
            <c:ext xmlns:c16="http://schemas.microsoft.com/office/drawing/2014/chart" uri="{C3380CC4-5D6E-409C-BE32-E72D297353CC}">
              <c16:uniqueId val="{0000000D-AE7C-4F16-91EB-65ACC38E18C2}"/>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Desarrollo!$E$5</c:f>
              <c:numCache>
                <c:formatCode>_(* #,##0.00_);_(* \(#,##0.00\);_(* "-"??_);_(@_)</c:formatCode>
                <c:ptCount val="1"/>
                <c:pt idx="0">
                  <c:v>1.2079066943941625</c:v>
                </c:pt>
              </c:numCache>
            </c:numRef>
          </c:val>
          <c:extLst>
            <c:ext xmlns:c16="http://schemas.microsoft.com/office/drawing/2014/chart" uri="{C3380CC4-5D6E-409C-BE32-E72D297353CC}">
              <c16:uniqueId val="{0000000E-AE7C-4F16-91EB-65ACC38E18C2}"/>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Desarrollo!$E$6</c:f>
              <c:numCache>
                <c:formatCode>_(* #,##0.00_);_(* \(#,##0.00\);_(* "-"??_);_(@_)</c:formatCode>
                <c:ptCount val="1"/>
                <c:pt idx="0">
                  <c:v>2.2731294475575816</c:v>
                </c:pt>
              </c:numCache>
            </c:numRef>
          </c:val>
          <c:extLst>
            <c:ext xmlns:c16="http://schemas.microsoft.com/office/drawing/2014/chart" uri="{C3380CC4-5D6E-409C-BE32-E72D297353CC}">
              <c16:uniqueId val="{0000000F-AE7C-4F16-91EB-65ACC38E18C2}"/>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Desarrollo!$E$7</c:f>
              <c:numCache>
                <c:formatCode>_(* #,##0.00_);_(* \(#,##0.00\);_(* "-"??_);_(@_)</c:formatCode>
                <c:ptCount val="1"/>
                <c:pt idx="0">
                  <c:v>11.022768438141494</c:v>
                </c:pt>
              </c:numCache>
            </c:numRef>
          </c:val>
          <c:extLst>
            <c:ext xmlns:c16="http://schemas.microsoft.com/office/drawing/2014/chart" uri="{C3380CC4-5D6E-409C-BE32-E72D297353CC}">
              <c16:uniqueId val="{00000010-AE7C-4F16-91EB-65ACC38E18C2}"/>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Desarrollo!$E$8</c:f>
              <c:numCache>
                <c:formatCode>_(* #,##0.00_);_(* \(#,##0.00\);_(* "-"??_);_(@_)</c:formatCode>
                <c:ptCount val="1"/>
                <c:pt idx="0">
                  <c:v>0.78669553375449219</c:v>
                </c:pt>
              </c:numCache>
            </c:numRef>
          </c:val>
          <c:extLst>
            <c:ext xmlns:c16="http://schemas.microsoft.com/office/drawing/2014/chart" uri="{C3380CC4-5D6E-409C-BE32-E72D297353CC}">
              <c16:uniqueId val="{00000011-AE7C-4F16-91EB-65ACC38E18C2}"/>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Desarrollo!$E$9</c:f>
              <c:numCache>
                <c:formatCode>_(* #,##0.00_);_(* \(#,##0.00\);_(* "-"??_);_(@_)</c:formatCode>
                <c:ptCount val="1"/>
                <c:pt idx="0">
                  <c:v>1.4736400757723518</c:v>
                </c:pt>
              </c:numCache>
            </c:numRef>
          </c:val>
          <c:extLst>
            <c:ext xmlns:c16="http://schemas.microsoft.com/office/drawing/2014/chart" uri="{C3380CC4-5D6E-409C-BE32-E72D297353CC}">
              <c16:uniqueId val="{00000012-AE7C-4F16-91EB-65ACC38E18C2}"/>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Desarrollo!$E$10</c:f>
              <c:numCache>
                <c:formatCode>_(* #,##0.00_);_(* \(#,##0.00\);_(* "-"??_);_(@_)</c:formatCode>
                <c:ptCount val="1"/>
                <c:pt idx="0">
                  <c:v>0.4336490587222348</c:v>
                </c:pt>
              </c:numCache>
            </c:numRef>
          </c:val>
          <c:extLst>
            <c:ext xmlns:c16="http://schemas.microsoft.com/office/drawing/2014/chart" uri="{C3380CC4-5D6E-409C-BE32-E72D297353CC}">
              <c16:uniqueId val="{00000013-AE7C-4F16-91EB-65ACC38E18C2}"/>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Desarrollo!$E$11</c:f>
              <c:numCache>
                <c:formatCode>_(* #,##0.00_);_(* \(#,##0.00\);_(* "-"??_);_(@_)</c:formatCode>
                <c:ptCount val="1"/>
                <c:pt idx="0">
                  <c:v>1.0353482453886389</c:v>
                </c:pt>
              </c:numCache>
            </c:numRef>
          </c:val>
          <c:extLst>
            <c:ext xmlns:c16="http://schemas.microsoft.com/office/drawing/2014/chart" uri="{C3380CC4-5D6E-409C-BE32-E72D297353CC}">
              <c16:uniqueId val="{00000014-AE7C-4F16-91EB-65ACC38E18C2}"/>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layout/>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Razón</a:t>
            </a:r>
            <a:r>
              <a:rPr lang="es-MX" baseline="0"/>
              <a:t> Circulante</a:t>
            </a:r>
            <a:endParaRPr lang="es-MX"/>
          </a:p>
        </c:rich>
      </c:tx>
      <c:layout>
        <c:manualLayout>
          <c:xMode val="edge"/>
          <c:yMode val="edge"/>
          <c:x val="0.25674316344200276"/>
          <c:y val="2.6800670016750419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Desarrollo!$E$12</c:f>
              <c:numCache>
                <c:formatCode>_(* #,##0.00_);_(* \(#,##0.00\);_(* "-"??_);_(@_)</c:formatCode>
                <c:ptCount val="1"/>
                <c:pt idx="0">
                  <c:v>0.67062771739123206</c:v>
                </c:pt>
              </c:numCache>
            </c:numRef>
          </c:val>
          <c:extLst>
            <c:ext xmlns:c16="http://schemas.microsoft.com/office/drawing/2014/chart" uri="{C3380CC4-5D6E-409C-BE32-E72D297353CC}">
              <c16:uniqueId val="{00000000-0221-4DE2-8526-E0300509039F}"/>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Desarrollo!$E$13</c:f>
              <c:numCache>
                <c:formatCode>_(* #,##0.00_);_(* \(#,##0.00\);_(* "-"??_);_(@_)</c:formatCode>
                <c:ptCount val="1"/>
                <c:pt idx="0">
                  <c:v>0.65836366057263929</c:v>
                </c:pt>
              </c:numCache>
            </c:numRef>
          </c:val>
          <c:extLst>
            <c:ext xmlns:c16="http://schemas.microsoft.com/office/drawing/2014/chart" uri="{C3380CC4-5D6E-409C-BE32-E72D297353CC}">
              <c16:uniqueId val="{00000001-0221-4DE2-8526-E0300509039F}"/>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Desarrollo!$E$14</c:f>
              <c:numCache>
                <c:formatCode>_(* #,##0.00_);_(* \(#,##0.00\);_(* "-"??_);_(@_)</c:formatCode>
                <c:ptCount val="1"/>
                <c:pt idx="0">
                  <c:v>0.77913008806206496</c:v>
                </c:pt>
              </c:numCache>
            </c:numRef>
          </c:val>
          <c:extLst>
            <c:ext xmlns:c16="http://schemas.microsoft.com/office/drawing/2014/chart" uri="{C3380CC4-5D6E-409C-BE32-E72D297353CC}">
              <c16:uniqueId val="{00000002-0221-4DE2-8526-E0300509039F}"/>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Desarrollo!$E$15</c:f>
              <c:numCache>
                <c:formatCode>_(* #,##0.00_);_(* \(#,##0.00\);_(* "-"??_);_(@_)</c:formatCode>
                <c:ptCount val="1"/>
                <c:pt idx="0">
                  <c:v>1.189532019270727</c:v>
                </c:pt>
              </c:numCache>
            </c:numRef>
          </c:val>
          <c:extLst>
            <c:ext xmlns:c16="http://schemas.microsoft.com/office/drawing/2014/chart" uri="{C3380CC4-5D6E-409C-BE32-E72D297353CC}">
              <c16:uniqueId val="{00000003-0221-4DE2-8526-E0300509039F}"/>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Desarrollo!$E$16</c:f>
              <c:numCache>
                <c:formatCode>_(* #,##0.00_);_(* \(#,##0.00\);_(* "-"??_);_(@_)</c:formatCode>
                <c:ptCount val="1"/>
                <c:pt idx="0">
                  <c:v>1.5664484520406181</c:v>
                </c:pt>
              </c:numCache>
            </c:numRef>
          </c:val>
          <c:extLst>
            <c:ext xmlns:c16="http://schemas.microsoft.com/office/drawing/2014/chart" uri="{C3380CC4-5D6E-409C-BE32-E72D297353CC}">
              <c16:uniqueId val="{00000004-0221-4DE2-8526-E0300509039F}"/>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Desarrollo!$E$17</c:f>
              <c:numCache>
                <c:formatCode>_(* #,##0.00_);_(* \(#,##0.00\);_(* "-"??_);_(@_)</c:formatCode>
                <c:ptCount val="1"/>
                <c:pt idx="0">
                  <c:v>11.022768438141494</c:v>
                </c:pt>
              </c:numCache>
            </c:numRef>
          </c:val>
          <c:extLst>
            <c:ext xmlns:c16="http://schemas.microsoft.com/office/drawing/2014/chart" uri="{C3380CC4-5D6E-409C-BE32-E72D297353CC}">
              <c16:uniqueId val="{00000005-0221-4DE2-8526-E0300509039F}"/>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Desarrollo!$E$18</c:f>
              <c:numCache>
                <c:formatCode>_(* #,##0.00_);_(* \(#,##0.00\);_(* "-"??_);_(@_)</c:formatCode>
                <c:ptCount val="1"/>
                <c:pt idx="0">
                  <c:v>0.70977519086546481</c:v>
                </c:pt>
              </c:numCache>
            </c:numRef>
          </c:val>
          <c:extLst>
            <c:ext xmlns:c16="http://schemas.microsoft.com/office/drawing/2014/chart" uri="{C3380CC4-5D6E-409C-BE32-E72D297353CC}">
              <c16:uniqueId val="{00000006-0221-4DE2-8526-E0300509039F}"/>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Desarrollo!$E$19</c:f>
              <c:numCache>
                <c:formatCode>_(* #,##0.00_);_(* \(#,##0.00\);_(* "-"??_);_(@_)</c:formatCode>
                <c:ptCount val="1"/>
                <c:pt idx="0">
                  <c:v>0.84657334630796899</c:v>
                </c:pt>
              </c:numCache>
            </c:numRef>
          </c:val>
          <c:extLst>
            <c:ext xmlns:c16="http://schemas.microsoft.com/office/drawing/2014/chart" uri="{C3380CC4-5D6E-409C-BE32-E72D297353CC}">
              <c16:uniqueId val="{00000007-0221-4DE2-8526-E0300509039F}"/>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Desarrollo!$E$20</c:f>
              <c:numCache>
                <c:formatCode>_(* #,##0.00_);_(* \(#,##0.00\);_(* "-"??_);_(@_)</c:formatCode>
                <c:ptCount val="1"/>
                <c:pt idx="0">
                  <c:v>0.42079168709425768</c:v>
                </c:pt>
              </c:numCache>
            </c:numRef>
          </c:val>
          <c:extLst>
            <c:ext xmlns:c16="http://schemas.microsoft.com/office/drawing/2014/chart" uri="{C3380CC4-5D6E-409C-BE32-E72D297353CC}">
              <c16:uniqueId val="{00000008-0221-4DE2-8526-E0300509039F}"/>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val>
            <c:numRef>
              <c:f>Desarrollo!$E$21</c:f>
              <c:numCache>
                <c:formatCode>_(* #,##0.00_);_(* \(#,##0.00\);_(* "-"??_);_(@_)</c:formatCode>
                <c:ptCount val="1"/>
                <c:pt idx="0">
                  <c:v>0.72505495624921357</c:v>
                </c:pt>
              </c:numCache>
            </c:numRef>
          </c:val>
          <c:extLst>
            <c:ext xmlns:c16="http://schemas.microsoft.com/office/drawing/2014/chart" uri="{C3380CC4-5D6E-409C-BE32-E72D297353CC}">
              <c16:uniqueId val="{00000009-0221-4DE2-8526-E0300509039F}"/>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layout/>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Deuda</a:t>
            </a:r>
            <a:r>
              <a:rPr lang="es-MX" baseline="0"/>
              <a:t> Total</a:t>
            </a:r>
            <a:endParaRPr lang="es-MX"/>
          </a:p>
        </c:rich>
      </c:tx>
      <c:layout>
        <c:manualLayout>
          <c:xMode val="edge"/>
          <c:yMode val="edge"/>
          <c:x val="0.36507647308038649"/>
          <c:y val="2.6800670016750419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Desarrollo!$E$22:$F$22</c15:sqref>
                  </c15:fullRef>
                </c:ext>
              </c:extLst>
              <c:f>Desarrollo!$E$22</c:f>
              <c:numCache>
                <c:formatCode>_(* #,##0.00_);_(* \(#,##0.00\);_(* "-"??_);_(@_)</c:formatCode>
                <c:ptCount val="1"/>
                <c:pt idx="0">
                  <c:v>0.73440642843074555</c:v>
                </c:pt>
              </c:numCache>
            </c:numRef>
          </c:val>
          <c:extLst>
            <c:ext xmlns:c16="http://schemas.microsoft.com/office/drawing/2014/chart" uri="{C3380CC4-5D6E-409C-BE32-E72D297353CC}">
              <c16:uniqueId val="{00000000-450B-45F9-B7D2-20237ECF09DF}"/>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Desarrollo!$E$23:$F$23</c15:sqref>
                  </c15:fullRef>
                </c:ext>
              </c:extLst>
              <c:f>Desarrollo!$E$23</c:f>
              <c:numCache>
                <c:formatCode>_(* #,##0.00_);_(* \(#,##0.00\);_(* "-"??_);_(@_)</c:formatCode>
                <c:ptCount val="1"/>
                <c:pt idx="0">
                  <c:v>0.83719021145389783</c:v>
                </c:pt>
              </c:numCache>
            </c:numRef>
          </c:val>
          <c:extLst>
            <c:ext xmlns:c16="http://schemas.microsoft.com/office/drawing/2014/chart" uri="{C3380CC4-5D6E-409C-BE32-E72D297353CC}">
              <c16:uniqueId val="{00000001-450B-45F9-B7D2-20237ECF09DF}"/>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Desarrollo!$E$24:$F$24</c15:sqref>
                  </c15:fullRef>
                </c:ext>
              </c:extLst>
              <c:f>Desarrollo!$E$24</c:f>
              <c:numCache>
                <c:formatCode>_(* #,##0.00_);_(* \(#,##0.00\);_(* "-"??_);_(@_)</c:formatCode>
                <c:ptCount val="1"/>
                <c:pt idx="0">
                  <c:v>0.87139748319014321</c:v>
                </c:pt>
              </c:numCache>
            </c:numRef>
          </c:val>
          <c:extLst>
            <c:ext xmlns:c16="http://schemas.microsoft.com/office/drawing/2014/chart" uri="{C3380CC4-5D6E-409C-BE32-E72D297353CC}">
              <c16:uniqueId val="{00000002-450B-45F9-B7D2-20237ECF09DF}"/>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Desarrollo!$E$25:$F$25</c15:sqref>
                  </c15:fullRef>
                </c:ext>
              </c:extLst>
              <c:f>Desarrollo!$E$25</c:f>
              <c:numCache>
                <c:formatCode>_(* #,##0.00_);_(* \(#,##0.00\);_(* "-"??_);_(@_)</c:formatCode>
                <c:ptCount val="1"/>
                <c:pt idx="0">
                  <c:v>0.30551563567144296</c:v>
                </c:pt>
              </c:numCache>
            </c:numRef>
          </c:val>
          <c:extLst>
            <c:ext xmlns:c16="http://schemas.microsoft.com/office/drawing/2014/chart" uri="{C3380CC4-5D6E-409C-BE32-E72D297353CC}">
              <c16:uniqueId val="{00000003-450B-45F9-B7D2-20237ECF09DF}"/>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Desarrollo!$E$26:$F$26</c15:sqref>
                  </c15:fullRef>
                </c:ext>
              </c:extLst>
              <c:f>Desarrollo!$E$26</c:f>
              <c:numCache>
                <c:formatCode>_(* #,##0.00_);_(* \(#,##0.00\);_(* "-"??_);_(@_)</c:formatCode>
                <c:ptCount val="1"/>
                <c:pt idx="0">
                  <c:v>0.32425718835868766</c:v>
                </c:pt>
              </c:numCache>
            </c:numRef>
          </c:val>
          <c:extLst>
            <c:ext xmlns:c16="http://schemas.microsoft.com/office/drawing/2014/chart" uri="{C3380CC4-5D6E-409C-BE32-E72D297353CC}">
              <c16:uniqueId val="{00000004-450B-45F9-B7D2-20237ECF09DF}"/>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Desarrollo!$E$27:$F$27</c15:sqref>
                  </c15:fullRef>
                </c:ext>
              </c:extLst>
              <c:f>Desarrollo!$E$27</c:f>
              <c:numCache>
                <c:formatCode>_(* #,##0.00_);_(* \(#,##0.00\);_(* "-"??_);_(@_)</c:formatCode>
                <c:ptCount val="1"/>
                <c:pt idx="0">
                  <c:v>0.77445043575636596</c:v>
                </c:pt>
              </c:numCache>
            </c:numRef>
          </c:val>
          <c:extLst>
            <c:ext xmlns:c16="http://schemas.microsoft.com/office/drawing/2014/chart" uri="{C3380CC4-5D6E-409C-BE32-E72D297353CC}">
              <c16:uniqueId val="{00000005-450B-45F9-B7D2-20237ECF09DF}"/>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Desarrollo!$E$28:$F$28</c15:sqref>
                  </c15:fullRef>
                </c:ext>
              </c:extLst>
              <c:f>Desarrollo!$E$28</c:f>
              <c:numCache>
                <c:formatCode>_(* #,##0.00_);_(* \(#,##0.00\);_(* "-"??_);_(@_)</c:formatCode>
                <c:ptCount val="1"/>
                <c:pt idx="0">
                  <c:v>0.31265994328692298</c:v>
                </c:pt>
              </c:numCache>
            </c:numRef>
          </c:val>
          <c:extLst>
            <c:ext xmlns:c16="http://schemas.microsoft.com/office/drawing/2014/chart" uri="{C3380CC4-5D6E-409C-BE32-E72D297353CC}">
              <c16:uniqueId val="{00000006-450B-45F9-B7D2-20237ECF09DF}"/>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Desarrollo!$E$29:$F$29</c15:sqref>
                  </c15:fullRef>
                </c:ext>
              </c:extLst>
              <c:f>Desarrollo!$E$29</c:f>
              <c:numCache>
                <c:formatCode>_(* #,##0.00_);_(* \(#,##0.00\);_(* "-"??_);_(@_)</c:formatCode>
                <c:ptCount val="1"/>
                <c:pt idx="0">
                  <c:v>0.64819977456067568</c:v>
                </c:pt>
              </c:numCache>
            </c:numRef>
          </c:val>
          <c:extLst>
            <c:ext xmlns:c16="http://schemas.microsoft.com/office/drawing/2014/chart" uri="{C3380CC4-5D6E-409C-BE32-E72D297353CC}">
              <c16:uniqueId val="{00000007-450B-45F9-B7D2-20237ECF09DF}"/>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Desarrollo!$E$30:$F$30</c15:sqref>
                  </c15:fullRef>
                </c:ext>
              </c:extLst>
              <c:f>Desarrollo!$E$30</c:f>
              <c:numCache>
                <c:formatCode>_(* #,##0.00_);_(* \(#,##0.00\);_(* "-"??_);_(@_)</c:formatCode>
                <c:ptCount val="1"/>
                <c:pt idx="0">
                  <c:v>0.74906501004765813</c:v>
                </c:pt>
              </c:numCache>
            </c:numRef>
          </c:val>
          <c:extLst>
            <c:ext xmlns:c16="http://schemas.microsoft.com/office/drawing/2014/chart" uri="{C3380CC4-5D6E-409C-BE32-E72D297353CC}">
              <c16:uniqueId val="{00000008-450B-45F9-B7D2-20237ECF09DF}"/>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Desarrollo!$E$31:$F$31</c15:sqref>
                  </c15:fullRef>
                </c:ext>
              </c:extLst>
              <c:f>Desarrollo!$E$31</c:f>
              <c:numCache>
                <c:formatCode>_(* #,##0.00_);_(* \(#,##0.00\);_(* "-"??_);_(@_)</c:formatCode>
                <c:ptCount val="1"/>
                <c:pt idx="0">
                  <c:v>0.88050735710608907</c:v>
                </c:pt>
              </c:numCache>
            </c:numRef>
          </c:val>
          <c:extLst>
            <c:ext xmlns:c16="http://schemas.microsoft.com/office/drawing/2014/chart" uri="{C3380CC4-5D6E-409C-BE32-E72D297353CC}">
              <c16:uniqueId val="{00000009-450B-45F9-B7D2-20237ECF09DF}"/>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General" sourceLinked="0"/>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layout/>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Deuda</a:t>
            </a:r>
            <a:r>
              <a:rPr lang="es-MX" baseline="0"/>
              <a:t> A Capital</a:t>
            </a:r>
            <a:endParaRPr lang="es-MX"/>
          </a:p>
        </c:rich>
      </c:tx>
      <c:layout>
        <c:manualLayout>
          <c:xMode val="edge"/>
          <c:yMode val="edge"/>
          <c:x val="0.36507647308038649"/>
          <c:y val="2.6800670016750419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Desarrollo!$E$32:$F$32</c15:sqref>
                  </c15:fullRef>
                </c:ext>
              </c:extLst>
              <c:f>Desarrollo!$E$32</c:f>
              <c:numCache>
                <c:formatCode>_(* #,##0.00_);_(* \(#,##0.00\);_(* "-"??_);_(@_)</c:formatCode>
                <c:ptCount val="1"/>
                <c:pt idx="0">
                  <c:v>3.765151370537771</c:v>
                </c:pt>
              </c:numCache>
            </c:numRef>
          </c:val>
          <c:extLst>
            <c:ext xmlns:c16="http://schemas.microsoft.com/office/drawing/2014/chart" uri="{C3380CC4-5D6E-409C-BE32-E72D297353CC}">
              <c16:uniqueId val="{00000000-88BA-4B57-8A86-C3E5A1DA83E4}"/>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Desarrollo!$E$33:$F$33</c15:sqref>
                  </c15:fullRef>
                </c:ext>
              </c:extLst>
              <c:f>Desarrollo!$E$33</c:f>
              <c:numCache>
                <c:formatCode>_(* #,##0.00_);_(* \(#,##0.00\);_(* "-"??_);_(@_)</c:formatCode>
                <c:ptCount val="1"/>
                <c:pt idx="0">
                  <c:v>6.1421368391301243</c:v>
                </c:pt>
              </c:numCache>
            </c:numRef>
          </c:val>
          <c:extLst>
            <c:ext xmlns:c16="http://schemas.microsoft.com/office/drawing/2014/chart" uri="{C3380CC4-5D6E-409C-BE32-E72D297353CC}">
              <c16:uniqueId val="{00000001-88BA-4B57-8A86-C3E5A1DA83E4}"/>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Desarrollo!$E$34:$F$34</c15:sqref>
                  </c15:fullRef>
                </c:ext>
              </c:extLst>
              <c:f>Desarrollo!$E$34</c:f>
              <c:numCache>
                <c:formatCode>_(* #,##0.00_);_(* \(#,##0.00\);_(* "-"??_);_(@_)</c:formatCode>
                <c:ptCount val="1"/>
                <c:pt idx="0">
                  <c:v>5.8581659236207946</c:v>
                </c:pt>
              </c:numCache>
            </c:numRef>
          </c:val>
          <c:extLst>
            <c:ext xmlns:c16="http://schemas.microsoft.com/office/drawing/2014/chart" uri="{C3380CC4-5D6E-409C-BE32-E72D297353CC}">
              <c16:uniqueId val="{00000002-88BA-4B57-8A86-C3E5A1DA83E4}"/>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Desarrollo!$E$35:$F$35</c15:sqref>
                  </c15:fullRef>
                </c:ext>
              </c:extLst>
              <c:f>Desarrollo!$E$35</c:f>
              <c:numCache>
                <c:formatCode>_(* #,##0.00_);_(* \(#,##0.00\);_(* "-"??_);_(@_)</c:formatCode>
                <c:ptCount val="1"/>
                <c:pt idx="0">
                  <c:v>1.4399172268864862</c:v>
                </c:pt>
              </c:numCache>
            </c:numRef>
          </c:val>
          <c:extLst>
            <c:ext xmlns:c16="http://schemas.microsoft.com/office/drawing/2014/chart" uri="{C3380CC4-5D6E-409C-BE32-E72D297353CC}">
              <c16:uniqueId val="{00000003-88BA-4B57-8A86-C3E5A1DA83E4}"/>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Desarrollo!$E$36:$F$36</c15:sqref>
                  </c15:fullRef>
                </c:ext>
              </c:extLst>
              <c:f>Desarrollo!$E$36</c:f>
              <c:numCache>
                <c:formatCode>_(* #,##0.00_);_(* \(#,##0.00\);_(* "-"??_);_(@_)</c:formatCode>
                <c:ptCount val="1"/>
                <c:pt idx="0">
                  <c:v>1.4808064977338933</c:v>
                </c:pt>
              </c:numCache>
            </c:numRef>
          </c:val>
          <c:extLst>
            <c:ext xmlns:c16="http://schemas.microsoft.com/office/drawing/2014/chart" uri="{C3380CC4-5D6E-409C-BE32-E72D297353CC}">
              <c16:uniqueId val="{00000004-88BA-4B57-8A86-C3E5A1DA83E4}"/>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Desarrollo!$E$37:$F$37</c15:sqref>
                  </c15:fullRef>
                </c:ext>
              </c:extLst>
              <c:f>Desarrollo!$E$37</c:f>
              <c:numCache>
                <c:formatCode>_(* #,##0.00_);_(* \(#,##0.00\);_(* "-"??_);_(@_)</c:formatCode>
                <c:ptCount val="1"/>
                <c:pt idx="0">
                  <c:v>4.4336153047044693</c:v>
                </c:pt>
              </c:numCache>
            </c:numRef>
          </c:val>
          <c:extLst>
            <c:ext xmlns:c16="http://schemas.microsoft.com/office/drawing/2014/chart" uri="{C3380CC4-5D6E-409C-BE32-E72D297353CC}">
              <c16:uniqueId val="{00000005-88BA-4B57-8A86-C3E5A1DA83E4}"/>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Desarrollo!$E$38:$F$38</c15:sqref>
                  </c15:fullRef>
                </c:ext>
              </c:extLst>
              <c:f>Desarrollo!$E$38</c:f>
              <c:numCache>
                <c:formatCode>_(* #,##0.00_);_(* \(#,##0.00\);_(* "-"??_);_(@_)</c:formatCode>
                <c:ptCount val="1"/>
                <c:pt idx="0">
                  <c:v>1.2009792184318739</c:v>
                </c:pt>
              </c:numCache>
            </c:numRef>
          </c:val>
          <c:extLst>
            <c:ext xmlns:c16="http://schemas.microsoft.com/office/drawing/2014/chart" uri="{C3380CC4-5D6E-409C-BE32-E72D297353CC}">
              <c16:uniqueId val="{00000006-88BA-4B57-8A86-C3E5A1DA83E4}"/>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Desarrollo!$E$39:$F$39</c15:sqref>
                  </c15:fullRef>
                </c:ext>
              </c:extLst>
              <c:f>Desarrollo!$E$39</c:f>
              <c:numCache>
                <c:formatCode>_(* #,##0.00_);_(* \(#,##0.00\);_(* "-"??_);_(@_)</c:formatCode>
                <c:ptCount val="1"/>
                <c:pt idx="0">
                  <c:v>2.8425223399195123</c:v>
                </c:pt>
              </c:numCache>
            </c:numRef>
          </c:val>
          <c:extLst>
            <c:ext xmlns:c16="http://schemas.microsoft.com/office/drawing/2014/chart" uri="{C3380CC4-5D6E-409C-BE32-E72D297353CC}">
              <c16:uniqueId val="{00000007-88BA-4B57-8A86-C3E5A1DA83E4}"/>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Desarrollo!$E$40:$F$40</c15:sqref>
                  </c15:fullRef>
                </c:ext>
              </c:extLst>
              <c:f>Desarrollo!$E$40</c:f>
              <c:numCache>
                <c:formatCode>_(* #,##0.00_);_(* \(#,##0.00\);_(* "-"??_);_(@_)</c:formatCode>
                <c:ptCount val="1"/>
                <c:pt idx="0">
                  <c:v>3.0659658419535067</c:v>
                </c:pt>
              </c:numCache>
            </c:numRef>
          </c:val>
          <c:extLst>
            <c:ext xmlns:c16="http://schemas.microsoft.com/office/drawing/2014/chart" uri="{C3380CC4-5D6E-409C-BE32-E72D297353CC}">
              <c16:uniqueId val="{00000008-88BA-4B57-8A86-C3E5A1DA83E4}"/>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Desarrollo!$E$41:$F$41</c15:sqref>
                  </c15:fullRef>
                </c:ext>
              </c:extLst>
              <c:f>Desarrollo!$E$41</c:f>
              <c:numCache>
                <c:formatCode>_(* #,##0.00_);_(* \(#,##0.00\);_(* "-"??_);_(@_)</c:formatCode>
                <c:ptCount val="1"/>
                <c:pt idx="0">
                  <c:v>8.3687160630284971</c:v>
                </c:pt>
              </c:numCache>
            </c:numRef>
          </c:val>
          <c:extLst>
            <c:ext xmlns:c16="http://schemas.microsoft.com/office/drawing/2014/chart" uri="{C3380CC4-5D6E-409C-BE32-E72D297353CC}">
              <c16:uniqueId val="{00000009-88BA-4B57-8A86-C3E5A1DA83E4}"/>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General" sourceLinked="0"/>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manualLayout>
          <c:xMode val="edge"/>
          <c:yMode val="edge"/>
          <c:x val="0.12807739980809277"/>
          <c:y val="0.29464012978277215"/>
          <c:w val="0.87162273149109115"/>
          <c:h val="0.21608198472678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Rotación</a:t>
            </a:r>
            <a:r>
              <a:rPr lang="es-MX" baseline="0"/>
              <a:t> del inventario</a:t>
            </a:r>
            <a:endParaRPr lang="es-MX"/>
          </a:p>
        </c:rich>
      </c:tx>
      <c:layout>
        <c:manualLayout>
          <c:xMode val="edge"/>
          <c:yMode val="edge"/>
          <c:x val="0.26915304699189696"/>
          <c:y val="4.690117252931323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Desarrollo!$E$32:$F$32</c15:sqref>
                  </c15:fullRef>
                </c:ext>
              </c:extLst>
              <c:f>Desarrollo!$E$32</c:f>
              <c:numCache>
                <c:formatCode>_(* #,##0.00_);_(* \(#,##0.00\);_(* "-"??_);_(@_)</c:formatCode>
                <c:ptCount val="1"/>
                <c:pt idx="0">
                  <c:v>3.765151370537771</c:v>
                </c:pt>
              </c:numCache>
            </c:numRef>
          </c:val>
          <c:extLst>
            <c:ext xmlns:c16="http://schemas.microsoft.com/office/drawing/2014/chart" uri="{C3380CC4-5D6E-409C-BE32-E72D297353CC}">
              <c16:uniqueId val="{00000000-9863-44D8-BC26-5C6C3201CEB7}"/>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Desarrollo!$E$33:$F$33</c15:sqref>
                  </c15:fullRef>
                </c:ext>
              </c:extLst>
              <c:f>Desarrollo!$E$33</c:f>
              <c:numCache>
                <c:formatCode>_(* #,##0.00_);_(* \(#,##0.00\);_(* "-"??_);_(@_)</c:formatCode>
                <c:ptCount val="1"/>
                <c:pt idx="0">
                  <c:v>6.1421368391301243</c:v>
                </c:pt>
              </c:numCache>
            </c:numRef>
          </c:val>
          <c:extLst>
            <c:ext xmlns:c16="http://schemas.microsoft.com/office/drawing/2014/chart" uri="{C3380CC4-5D6E-409C-BE32-E72D297353CC}">
              <c16:uniqueId val="{00000001-9863-44D8-BC26-5C6C3201CEB7}"/>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Desarrollo!$E$34:$F$34</c15:sqref>
                  </c15:fullRef>
                </c:ext>
              </c:extLst>
              <c:f>Desarrollo!$E$34</c:f>
              <c:numCache>
                <c:formatCode>_(* #,##0.00_);_(* \(#,##0.00\);_(* "-"??_);_(@_)</c:formatCode>
                <c:ptCount val="1"/>
                <c:pt idx="0">
                  <c:v>5.8581659236207946</c:v>
                </c:pt>
              </c:numCache>
            </c:numRef>
          </c:val>
          <c:extLst>
            <c:ext xmlns:c16="http://schemas.microsoft.com/office/drawing/2014/chart" uri="{C3380CC4-5D6E-409C-BE32-E72D297353CC}">
              <c16:uniqueId val="{00000002-9863-44D8-BC26-5C6C3201CEB7}"/>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Desarrollo!$E$35:$F$35</c15:sqref>
                  </c15:fullRef>
                </c:ext>
              </c:extLst>
              <c:f>Desarrollo!$E$35</c:f>
              <c:numCache>
                <c:formatCode>_(* #,##0.00_);_(* \(#,##0.00\);_(* "-"??_);_(@_)</c:formatCode>
                <c:ptCount val="1"/>
                <c:pt idx="0">
                  <c:v>1.4399172268864862</c:v>
                </c:pt>
              </c:numCache>
            </c:numRef>
          </c:val>
          <c:extLst>
            <c:ext xmlns:c16="http://schemas.microsoft.com/office/drawing/2014/chart" uri="{C3380CC4-5D6E-409C-BE32-E72D297353CC}">
              <c16:uniqueId val="{00000003-9863-44D8-BC26-5C6C3201CEB7}"/>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Desarrollo!$E$36:$F$36</c15:sqref>
                  </c15:fullRef>
                </c:ext>
              </c:extLst>
              <c:f>Desarrollo!$E$36</c:f>
              <c:numCache>
                <c:formatCode>_(* #,##0.00_);_(* \(#,##0.00\);_(* "-"??_);_(@_)</c:formatCode>
                <c:ptCount val="1"/>
                <c:pt idx="0">
                  <c:v>1.4808064977338933</c:v>
                </c:pt>
              </c:numCache>
            </c:numRef>
          </c:val>
          <c:extLst>
            <c:ext xmlns:c16="http://schemas.microsoft.com/office/drawing/2014/chart" uri="{C3380CC4-5D6E-409C-BE32-E72D297353CC}">
              <c16:uniqueId val="{00000004-9863-44D8-BC26-5C6C3201CEB7}"/>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Desarrollo!$E$37:$F$37</c15:sqref>
                  </c15:fullRef>
                </c:ext>
              </c:extLst>
              <c:f>Desarrollo!$E$37</c:f>
              <c:numCache>
                <c:formatCode>_(* #,##0.00_);_(* \(#,##0.00\);_(* "-"??_);_(@_)</c:formatCode>
                <c:ptCount val="1"/>
                <c:pt idx="0">
                  <c:v>4.4336153047044693</c:v>
                </c:pt>
              </c:numCache>
            </c:numRef>
          </c:val>
          <c:extLst>
            <c:ext xmlns:c16="http://schemas.microsoft.com/office/drawing/2014/chart" uri="{C3380CC4-5D6E-409C-BE32-E72D297353CC}">
              <c16:uniqueId val="{00000005-9863-44D8-BC26-5C6C3201CEB7}"/>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Desarrollo!$E$38:$F$38</c15:sqref>
                  </c15:fullRef>
                </c:ext>
              </c:extLst>
              <c:f>Desarrollo!$E$38</c:f>
              <c:numCache>
                <c:formatCode>_(* #,##0.00_);_(* \(#,##0.00\);_(* "-"??_);_(@_)</c:formatCode>
                <c:ptCount val="1"/>
                <c:pt idx="0">
                  <c:v>1.2009792184318739</c:v>
                </c:pt>
              </c:numCache>
            </c:numRef>
          </c:val>
          <c:extLst>
            <c:ext xmlns:c16="http://schemas.microsoft.com/office/drawing/2014/chart" uri="{C3380CC4-5D6E-409C-BE32-E72D297353CC}">
              <c16:uniqueId val="{00000006-9863-44D8-BC26-5C6C3201CEB7}"/>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Desarrollo!$E$39:$F$39</c15:sqref>
                  </c15:fullRef>
                </c:ext>
              </c:extLst>
              <c:f>Desarrollo!$E$39</c:f>
              <c:numCache>
                <c:formatCode>_(* #,##0.00_);_(* \(#,##0.00\);_(* "-"??_);_(@_)</c:formatCode>
                <c:ptCount val="1"/>
                <c:pt idx="0">
                  <c:v>2.8425223399195123</c:v>
                </c:pt>
              </c:numCache>
            </c:numRef>
          </c:val>
          <c:extLst>
            <c:ext xmlns:c16="http://schemas.microsoft.com/office/drawing/2014/chart" uri="{C3380CC4-5D6E-409C-BE32-E72D297353CC}">
              <c16:uniqueId val="{00000007-9863-44D8-BC26-5C6C3201CEB7}"/>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Desarrollo!$E$40:$F$40</c15:sqref>
                  </c15:fullRef>
                </c:ext>
              </c:extLst>
              <c:f>Desarrollo!$E$40</c:f>
              <c:numCache>
                <c:formatCode>_(* #,##0.00_);_(* \(#,##0.00\);_(* "-"??_);_(@_)</c:formatCode>
                <c:ptCount val="1"/>
                <c:pt idx="0">
                  <c:v>3.0659658419535067</c:v>
                </c:pt>
              </c:numCache>
            </c:numRef>
          </c:val>
          <c:extLst>
            <c:ext xmlns:c16="http://schemas.microsoft.com/office/drawing/2014/chart" uri="{C3380CC4-5D6E-409C-BE32-E72D297353CC}">
              <c16:uniqueId val="{00000008-9863-44D8-BC26-5C6C3201CEB7}"/>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Desarrollo!$E$41:$F$41</c15:sqref>
                  </c15:fullRef>
                </c:ext>
              </c:extLst>
              <c:f>Desarrollo!$E$41</c:f>
              <c:numCache>
                <c:formatCode>_(* #,##0.00_);_(* \(#,##0.00\);_(* "-"??_);_(@_)</c:formatCode>
                <c:ptCount val="1"/>
                <c:pt idx="0">
                  <c:v>8.3687160630284971</c:v>
                </c:pt>
              </c:numCache>
            </c:numRef>
          </c:val>
          <c:extLst>
            <c:ext xmlns:c16="http://schemas.microsoft.com/office/drawing/2014/chart" uri="{C3380CC4-5D6E-409C-BE32-E72D297353CC}">
              <c16:uniqueId val="{00000009-9863-44D8-BC26-5C6C3201CEB7}"/>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General" sourceLinked="0"/>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manualLayout>
          <c:xMode val="edge"/>
          <c:yMode val="edge"/>
          <c:x val="0.12807739980809277"/>
          <c:y val="0.29464012978277215"/>
          <c:w val="0.87162273149109115"/>
          <c:h val="0.21608198472678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Rotación</a:t>
            </a:r>
            <a:r>
              <a:rPr lang="es-MX" baseline="0"/>
              <a:t> de Activo total</a:t>
            </a:r>
            <a:endParaRPr lang="es-MX"/>
          </a:p>
        </c:rich>
      </c:tx>
      <c:layout>
        <c:manualLayout>
          <c:xMode val="edge"/>
          <c:yMode val="edge"/>
          <c:x val="0.16637529169394322"/>
          <c:y val="7.3701842546063656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Desarrollo!$E$52:$F$52</c15:sqref>
                  </c15:fullRef>
                </c:ext>
              </c:extLst>
              <c:f>Desarrollo!$E$52</c:f>
              <c:numCache>
                <c:formatCode>_(* #,##0.00_);_(* \(#,##0.00\);_(* "-"??_);_(@_)</c:formatCode>
                <c:ptCount val="1"/>
                <c:pt idx="0">
                  <c:v>0.99081647497233583</c:v>
                </c:pt>
              </c:numCache>
            </c:numRef>
          </c:val>
          <c:extLst>
            <c:ext xmlns:c16="http://schemas.microsoft.com/office/drawing/2014/chart" uri="{C3380CC4-5D6E-409C-BE32-E72D297353CC}">
              <c16:uniqueId val="{00000000-96DB-4DE7-9765-E52567F5EBDA}"/>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Desarrollo!$E$53:$F$53</c15:sqref>
                  </c15:fullRef>
                </c:ext>
              </c:extLst>
              <c:f>Desarrollo!$E$53</c:f>
              <c:numCache>
                <c:formatCode>_(* #,##0.00_);_(* \(#,##0.00\);_(* "-"??_);_(@_)</c:formatCode>
                <c:ptCount val="1"/>
                <c:pt idx="0">
                  <c:v>0.72199311841896219</c:v>
                </c:pt>
              </c:numCache>
            </c:numRef>
          </c:val>
          <c:extLst>
            <c:ext xmlns:c16="http://schemas.microsoft.com/office/drawing/2014/chart" uri="{C3380CC4-5D6E-409C-BE32-E72D297353CC}">
              <c16:uniqueId val="{00000001-96DB-4DE7-9765-E52567F5EBDA}"/>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Desarrollo!$E$54:$F$54</c15:sqref>
                  </c15:fullRef>
                </c:ext>
              </c:extLst>
              <c:f>Desarrollo!$E$54</c:f>
              <c:numCache>
                <c:formatCode>_(* #,##0.00_);_(* \(#,##0.00\);_(* "-"??_);_(@_)</c:formatCode>
                <c:ptCount val="1"/>
                <c:pt idx="0">
                  <c:v>0.45420421694967167</c:v>
                </c:pt>
              </c:numCache>
            </c:numRef>
          </c:val>
          <c:extLst>
            <c:ext xmlns:c16="http://schemas.microsoft.com/office/drawing/2014/chart" uri="{C3380CC4-5D6E-409C-BE32-E72D297353CC}">
              <c16:uniqueId val="{00000002-96DB-4DE7-9765-E52567F5EBDA}"/>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Desarrollo!$E$55:$F$55</c15:sqref>
                  </c15:fullRef>
                </c:ext>
              </c:extLst>
              <c:f>Desarrollo!$E$55</c:f>
              <c:numCache>
                <c:formatCode>_(* #,##0.00_);_(* \(#,##0.00\);_(* "-"??_);_(@_)</c:formatCode>
                <c:ptCount val="1"/>
                <c:pt idx="0">
                  <c:v>0.56600606560591815</c:v>
                </c:pt>
              </c:numCache>
            </c:numRef>
          </c:val>
          <c:extLst>
            <c:ext xmlns:c16="http://schemas.microsoft.com/office/drawing/2014/chart" uri="{C3380CC4-5D6E-409C-BE32-E72D297353CC}">
              <c16:uniqueId val="{00000003-96DB-4DE7-9765-E52567F5EBDA}"/>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Desarrollo!$E$56:$F$56</c15:sqref>
                  </c15:fullRef>
                </c:ext>
              </c:extLst>
              <c:f>Desarrollo!$E$56</c:f>
              <c:numCache>
                <c:formatCode>_(* #,##0.00_);_(* \(#,##0.00\);_(* "-"??_);_(@_)</c:formatCode>
                <c:ptCount val="1"/>
                <c:pt idx="0">
                  <c:v>0.700851377797576</c:v>
                </c:pt>
              </c:numCache>
            </c:numRef>
          </c:val>
          <c:extLst>
            <c:ext xmlns:c16="http://schemas.microsoft.com/office/drawing/2014/chart" uri="{C3380CC4-5D6E-409C-BE32-E72D297353CC}">
              <c16:uniqueId val="{00000004-96DB-4DE7-9765-E52567F5EBDA}"/>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Desarrollo!$E$57:$F$57</c15:sqref>
                  </c15:fullRef>
                </c:ext>
              </c:extLst>
              <c:f>Desarrollo!$E$57</c:f>
              <c:numCache>
                <c:formatCode>_(* #,##0.00_);_(* \(#,##0.00\);_(* "-"??_);_(@_)</c:formatCode>
                <c:ptCount val="1"/>
                <c:pt idx="0">
                  <c:v>0.40022792005453039</c:v>
                </c:pt>
              </c:numCache>
            </c:numRef>
          </c:val>
          <c:extLst>
            <c:ext xmlns:c16="http://schemas.microsoft.com/office/drawing/2014/chart" uri="{C3380CC4-5D6E-409C-BE32-E72D297353CC}">
              <c16:uniqueId val="{00000005-96DB-4DE7-9765-E52567F5EBDA}"/>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Desarrollo!$E$58:$F$58</c15:sqref>
                  </c15:fullRef>
                </c:ext>
              </c:extLst>
              <c:f>Desarrollo!$E$58</c:f>
              <c:numCache>
                <c:formatCode>_(* #,##0.00_);_(* \(#,##0.00\);_(* "-"??_);_(@_)</c:formatCode>
                <c:ptCount val="1"/>
                <c:pt idx="0">
                  <c:v>0.56774111703894614</c:v>
                </c:pt>
              </c:numCache>
            </c:numRef>
          </c:val>
          <c:extLst>
            <c:ext xmlns:c16="http://schemas.microsoft.com/office/drawing/2014/chart" uri="{C3380CC4-5D6E-409C-BE32-E72D297353CC}">
              <c16:uniqueId val="{00000006-96DB-4DE7-9765-E52567F5EBDA}"/>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Desarrollo!$E$59:$F$59</c15:sqref>
                  </c15:fullRef>
                </c:ext>
              </c:extLst>
              <c:f>Desarrollo!$E$59</c:f>
              <c:numCache>
                <c:formatCode>_(* #,##0.00_);_(* \(#,##0.00\);_(* "-"??_);_(@_)</c:formatCode>
                <c:ptCount val="1"/>
                <c:pt idx="0">
                  <c:v>0.34005338735348223</c:v>
                </c:pt>
              </c:numCache>
            </c:numRef>
          </c:val>
          <c:extLst>
            <c:ext xmlns:c16="http://schemas.microsoft.com/office/drawing/2014/chart" uri="{C3380CC4-5D6E-409C-BE32-E72D297353CC}">
              <c16:uniqueId val="{00000007-96DB-4DE7-9765-E52567F5EBDA}"/>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Desarrollo!$E$60:$F$60</c15:sqref>
                  </c15:fullRef>
                </c:ext>
              </c:extLst>
              <c:f>Desarrollo!$E$60</c:f>
              <c:numCache>
                <c:formatCode>_(* #,##0.00_);_(* \(#,##0.00\);_(* "-"??_);_(@_)</c:formatCode>
                <c:ptCount val="1"/>
                <c:pt idx="0">
                  <c:v>0.52028145390551994</c:v>
                </c:pt>
              </c:numCache>
            </c:numRef>
          </c:val>
          <c:extLst>
            <c:ext xmlns:c16="http://schemas.microsoft.com/office/drawing/2014/chart" uri="{C3380CC4-5D6E-409C-BE32-E72D297353CC}">
              <c16:uniqueId val="{00000008-96DB-4DE7-9765-E52567F5EBDA}"/>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Desarrollo!$E$61:$F$61</c15:sqref>
                  </c15:fullRef>
                </c:ext>
              </c:extLst>
              <c:f>Desarrollo!$E$61</c:f>
              <c:numCache>
                <c:formatCode>_(* #,##0.00_);_(* \(#,##0.00\);_(* "-"??_);_(@_)</c:formatCode>
                <c:ptCount val="1"/>
                <c:pt idx="0">
                  <c:v>0.51163025729410416</c:v>
                </c:pt>
              </c:numCache>
            </c:numRef>
          </c:val>
          <c:extLst>
            <c:ext xmlns:c16="http://schemas.microsoft.com/office/drawing/2014/chart" uri="{C3380CC4-5D6E-409C-BE32-E72D297353CC}">
              <c16:uniqueId val="{00000009-96DB-4DE7-9765-E52567F5EBDA}"/>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General" sourceLinked="0"/>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layout/>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manualLayout>
          <c:xMode val="edge"/>
          <c:yMode val="edge"/>
          <c:x val="0.12807739980809277"/>
          <c:y val="0.29464012978277215"/>
          <c:w val="0.87162273149109115"/>
          <c:h val="0.21608198472678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Rendimiento</a:t>
            </a:r>
            <a:r>
              <a:rPr lang="es-MX" baseline="0"/>
              <a:t> sobre el capital</a:t>
            </a:r>
            <a:endParaRPr lang="es-MX"/>
          </a:p>
        </c:rich>
      </c:tx>
      <c:layout>
        <c:manualLayout>
          <c:xMode val="edge"/>
          <c:yMode val="edge"/>
          <c:x val="0.20804194924716765"/>
          <c:y val="2.010050251256281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Desarrollo!$E$62:$F$62</c15:sqref>
                  </c15:fullRef>
                </c:ext>
              </c:extLst>
              <c:f>Desarrollo!$E$62</c:f>
              <c:numCache>
                <c:formatCode>0%</c:formatCode>
                <c:ptCount val="1"/>
                <c:pt idx="0">
                  <c:v>0.18285217055072112</c:v>
                </c:pt>
              </c:numCache>
            </c:numRef>
          </c:val>
          <c:extLst>
            <c:ext xmlns:c16="http://schemas.microsoft.com/office/drawing/2014/chart" uri="{C3380CC4-5D6E-409C-BE32-E72D297353CC}">
              <c16:uniqueId val="{00000000-0783-46A5-89EA-7E0D2B9B4768}"/>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Desarrollo!$E$63:$F$63</c15:sqref>
                  </c15:fullRef>
                </c:ext>
              </c:extLst>
              <c:f>Desarrollo!$E$63</c:f>
              <c:numCache>
                <c:formatCode>0%</c:formatCode>
                <c:ptCount val="1"/>
                <c:pt idx="0">
                  <c:v>0.21921787787254821</c:v>
                </c:pt>
              </c:numCache>
            </c:numRef>
          </c:val>
          <c:extLst>
            <c:ext xmlns:c16="http://schemas.microsoft.com/office/drawing/2014/chart" uri="{C3380CC4-5D6E-409C-BE32-E72D297353CC}">
              <c16:uniqueId val="{00000001-0783-46A5-89EA-7E0D2B9B4768}"/>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Desarrollo!$E$64:$F$64</c15:sqref>
                  </c15:fullRef>
                </c:ext>
              </c:extLst>
              <c:f>Desarrollo!$E$64</c:f>
              <c:numCache>
                <c:formatCode>0%</c:formatCode>
                <c:ptCount val="1"/>
                <c:pt idx="0">
                  <c:v>0.30232149016807114</c:v>
                </c:pt>
              </c:numCache>
            </c:numRef>
          </c:val>
          <c:extLst>
            <c:ext xmlns:c16="http://schemas.microsoft.com/office/drawing/2014/chart" uri="{C3380CC4-5D6E-409C-BE32-E72D297353CC}">
              <c16:uniqueId val="{00000002-0783-46A5-89EA-7E0D2B9B4768}"/>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Desarrollo!$E$65:$F$65</c15:sqref>
                  </c15:fullRef>
                </c:ext>
              </c:extLst>
              <c:f>Desarrollo!$E$65</c:f>
              <c:numCache>
                <c:formatCode>0%</c:formatCode>
                <c:ptCount val="1"/>
                <c:pt idx="0">
                  <c:v>6.4631198786737579E-2</c:v>
                </c:pt>
              </c:numCache>
            </c:numRef>
          </c:val>
          <c:extLst>
            <c:ext xmlns:c16="http://schemas.microsoft.com/office/drawing/2014/chart" uri="{C3380CC4-5D6E-409C-BE32-E72D297353CC}">
              <c16:uniqueId val="{00000003-0783-46A5-89EA-7E0D2B9B4768}"/>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Desarrollo!$E$66:$F$66</c15:sqref>
                  </c15:fullRef>
                </c:ext>
              </c:extLst>
              <c:f>Desarrollo!$E$66</c:f>
              <c:numCache>
                <c:formatCode>0%</c:formatCode>
                <c:ptCount val="1"/>
                <c:pt idx="0">
                  <c:v>0.10936795397279911</c:v>
                </c:pt>
              </c:numCache>
            </c:numRef>
          </c:val>
          <c:extLst>
            <c:ext xmlns:c16="http://schemas.microsoft.com/office/drawing/2014/chart" uri="{C3380CC4-5D6E-409C-BE32-E72D297353CC}">
              <c16:uniqueId val="{00000004-0783-46A5-89EA-7E0D2B9B4768}"/>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Desarrollo!$E$67:$F$67</c15:sqref>
                  </c15:fullRef>
                </c:ext>
              </c:extLst>
              <c:f>Desarrollo!$E$67</c:f>
              <c:numCache>
                <c:formatCode>0%</c:formatCode>
                <c:ptCount val="1"/>
                <c:pt idx="0">
                  <c:v>-0.42542464348835013</c:v>
                </c:pt>
              </c:numCache>
            </c:numRef>
          </c:val>
          <c:extLst>
            <c:ext xmlns:c16="http://schemas.microsoft.com/office/drawing/2014/chart" uri="{C3380CC4-5D6E-409C-BE32-E72D297353CC}">
              <c16:uniqueId val="{00000005-0783-46A5-89EA-7E0D2B9B4768}"/>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Desarrollo!$E$68:$F$68</c15:sqref>
                  </c15:fullRef>
                </c:ext>
              </c:extLst>
              <c:f>Desarrollo!$E$68</c:f>
              <c:numCache>
                <c:formatCode>0%</c:formatCode>
                <c:ptCount val="1"/>
                <c:pt idx="0">
                  <c:v>0.16666402561434485</c:v>
                </c:pt>
              </c:numCache>
            </c:numRef>
          </c:val>
          <c:extLst>
            <c:ext xmlns:c16="http://schemas.microsoft.com/office/drawing/2014/chart" uri="{C3380CC4-5D6E-409C-BE32-E72D297353CC}">
              <c16:uniqueId val="{00000006-0783-46A5-89EA-7E0D2B9B4768}"/>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Desarrollo!$E$69:$F$69</c15:sqref>
                  </c15:fullRef>
                </c:ext>
              </c:extLst>
              <c:f>Desarrollo!$E$69</c:f>
              <c:numCache>
                <c:formatCode>0%</c:formatCode>
                <c:ptCount val="1"/>
                <c:pt idx="0">
                  <c:v>7.2677938680509369E-2</c:v>
                </c:pt>
              </c:numCache>
            </c:numRef>
          </c:val>
          <c:extLst>
            <c:ext xmlns:c16="http://schemas.microsoft.com/office/drawing/2014/chart" uri="{C3380CC4-5D6E-409C-BE32-E72D297353CC}">
              <c16:uniqueId val="{00000007-0783-46A5-89EA-7E0D2B9B4768}"/>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Desarrollo!$E$70:$F$70</c15:sqref>
                  </c15:fullRef>
                </c:ext>
              </c:extLst>
              <c:f>Desarrollo!$E$70</c:f>
              <c:numCache>
                <c:formatCode>0%</c:formatCode>
                <c:ptCount val="1"/>
                <c:pt idx="0">
                  <c:v>-8.6932451460035615E-2</c:v>
                </c:pt>
              </c:numCache>
            </c:numRef>
          </c:val>
          <c:extLst>
            <c:ext xmlns:c16="http://schemas.microsoft.com/office/drawing/2014/chart" uri="{C3380CC4-5D6E-409C-BE32-E72D297353CC}">
              <c16:uniqueId val="{00000008-0783-46A5-89EA-7E0D2B9B4768}"/>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Desarrollo!$E$71:$F$71</c15:sqref>
                  </c15:fullRef>
                </c:ext>
              </c:extLst>
              <c:f>Desarrollo!$E$71</c:f>
              <c:numCache>
                <c:formatCode>0%</c:formatCode>
                <c:ptCount val="1"/>
                <c:pt idx="0">
                  <c:v>-0.19200018382526229</c:v>
                </c:pt>
              </c:numCache>
            </c:numRef>
          </c:val>
          <c:extLst>
            <c:ext xmlns:c16="http://schemas.microsoft.com/office/drawing/2014/chart" uri="{C3380CC4-5D6E-409C-BE32-E72D297353CC}">
              <c16:uniqueId val="{00000009-0783-46A5-89EA-7E0D2B9B4768}"/>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General" sourceLinked="0"/>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layout/>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manualLayout>
          <c:xMode val="edge"/>
          <c:yMode val="edge"/>
          <c:x val="0.12807739980809277"/>
          <c:y val="0.29464012978277215"/>
          <c:w val="0.87162273149109115"/>
          <c:h val="0.21608198472678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Rendimiento</a:t>
            </a:r>
            <a:r>
              <a:rPr lang="es-MX" baseline="0"/>
              <a:t> sobre Activos</a:t>
            </a:r>
            <a:endParaRPr lang="es-MX"/>
          </a:p>
        </c:rich>
      </c:tx>
      <c:layout>
        <c:manualLayout>
          <c:xMode val="edge"/>
          <c:yMode val="edge"/>
          <c:x val="0.15804196018329833"/>
          <c:y val="3.350083752093802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Desarrollo!$E$72:$F$72</c15:sqref>
                  </c15:fullRef>
                </c:ext>
              </c:extLst>
              <c:f>Desarrollo!$E$72</c:f>
              <c:numCache>
                <c:formatCode>0%</c:formatCode>
                <c:ptCount val="1"/>
                <c:pt idx="0">
                  <c:v>4.8564361045756468E-2</c:v>
                </c:pt>
              </c:numCache>
            </c:numRef>
          </c:val>
          <c:extLst>
            <c:ext xmlns:c16="http://schemas.microsoft.com/office/drawing/2014/chart" uri="{C3380CC4-5D6E-409C-BE32-E72D297353CC}">
              <c16:uniqueId val="{00000000-255D-4933-B5DB-5F6753A4F2DA}"/>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Desarrollo!$E$73:$F$73</c15:sqref>
                  </c15:fullRef>
                </c:ext>
              </c:extLst>
              <c:f>Desarrollo!$E$73</c:f>
              <c:numCache>
                <c:formatCode>0%</c:formatCode>
                <c:ptCount val="1"/>
                <c:pt idx="0">
                  <c:v>3.5690816341954826E-2</c:v>
                </c:pt>
              </c:numCache>
            </c:numRef>
          </c:val>
          <c:extLst>
            <c:ext xmlns:c16="http://schemas.microsoft.com/office/drawing/2014/chart" uri="{C3380CC4-5D6E-409C-BE32-E72D297353CC}">
              <c16:uniqueId val="{00000001-255D-4933-B5DB-5F6753A4F2DA}"/>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Desarrollo!$E$74:$F$74</c15:sqref>
                  </c15:fullRef>
                </c:ext>
              </c:extLst>
              <c:f>Desarrollo!$E$74</c:f>
              <c:numCache>
                <c:formatCode>0%</c:formatCode>
                <c:ptCount val="1"/>
                <c:pt idx="0">
                  <c:v>3.8879304521320331E-2</c:v>
                </c:pt>
              </c:numCache>
            </c:numRef>
          </c:val>
          <c:extLst>
            <c:ext xmlns:c16="http://schemas.microsoft.com/office/drawing/2014/chart" uri="{C3380CC4-5D6E-409C-BE32-E72D297353CC}">
              <c16:uniqueId val="{00000002-255D-4933-B5DB-5F6753A4F2DA}"/>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Desarrollo!$E$75:$F$75</c15:sqref>
                  </c15:fullRef>
                </c:ext>
              </c:extLst>
              <c:f>Desarrollo!$E$75</c:f>
              <c:numCache>
                <c:formatCode>0%</c:formatCode>
                <c:ptCount val="1"/>
                <c:pt idx="0">
                  <c:v>4.4885357005200056E-2</c:v>
                </c:pt>
              </c:numCache>
            </c:numRef>
          </c:val>
          <c:extLst>
            <c:ext xmlns:c16="http://schemas.microsoft.com/office/drawing/2014/chart" uri="{C3380CC4-5D6E-409C-BE32-E72D297353CC}">
              <c16:uniqueId val="{00000003-255D-4933-B5DB-5F6753A4F2DA}"/>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Desarrollo!$E$76:$F$76</c15:sqref>
                  </c15:fullRef>
                </c:ext>
              </c:extLst>
              <c:f>Desarrollo!$E$76</c:f>
              <c:numCache>
                <c:formatCode>0%</c:formatCode>
                <c:ptCount val="1"/>
                <c:pt idx="0">
                  <c:v>7.3857019225784734E-2</c:v>
                </c:pt>
              </c:numCache>
            </c:numRef>
          </c:val>
          <c:extLst>
            <c:ext xmlns:c16="http://schemas.microsoft.com/office/drawing/2014/chart" uri="{C3380CC4-5D6E-409C-BE32-E72D297353CC}">
              <c16:uniqueId val="{00000004-255D-4933-B5DB-5F6753A4F2DA}"/>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Desarrollo!$E$77:$F$77</c15:sqref>
                  </c15:fullRef>
                </c:ext>
              </c:extLst>
              <c:f>Desarrollo!$E$77</c:f>
              <c:numCache>
                <c:formatCode>0%</c:formatCode>
                <c:ptCount val="1"/>
                <c:pt idx="0">
                  <c:v>-9.5954342957300751E-2</c:v>
                </c:pt>
              </c:numCache>
            </c:numRef>
          </c:val>
          <c:extLst>
            <c:ext xmlns:c16="http://schemas.microsoft.com/office/drawing/2014/chart" uri="{C3380CC4-5D6E-409C-BE32-E72D297353CC}">
              <c16:uniqueId val="{00000005-255D-4933-B5DB-5F6753A4F2DA}"/>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Desarrollo!$E$78:$F$78</c15:sqref>
                  </c15:fullRef>
                </c:ext>
              </c:extLst>
              <c:f>Desarrollo!$E$78</c:f>
              <c:numCache>
                <c:formatCode>0%</c:formatCode>
                <c:ptCount val="1"/>
                <c:pt idx="0">
                  <c:v>0.13877344674786221</c:v>
                </c:pt>
              </c:numCache>
            </c:numRef>
          </c:val>
          <c:extLst>
            <c:ext xmlns:c16="http://schemas.microsoft.com/office/drawing/2014/chart" uri="{C3380CC4-5D6E-409C-BE32-E72D297353CC}">
              <c16:uniqueId val="{00000006-255D-4933-B5DB-5F6753A4F2DA}"/>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Desarrollo!$E$79:$F$79</c15:sqref>
                  </c15:fullRef>
                </c:ext>
              </c:extLst>
              <c:f>Desarrollo!$E$79</c:f>
              <c:numCache>
                <c:formatCode>0%</c:formatCode>
                <c:ptCount val="1"/>
                <c:pt idx="0">
                  <c:v>2.5568115212268587E-2</c:v>
                </c:pt>
              </c:numCache>
            </c:numRef>
          </c:val>
          <c:extLst>
            <c:ext xmlns:c16="http://schemas.microsoft.com/office/drawing/2014/chart" uri="{C3380CC4-5D6E-409C-BE32-E72D297353CC}">
              <c16:uniqueId val="{00000007-255D-4933-B5DB-5F6753A4F2DA}"/>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Desarrollo!$E$80:$F$80</c15:sqref>
                  </c15:fullRef>
                </c:ext>
              </c:extLst>
              <c:f>Desarrollo!$E$80</c:f>
              <c:numCache>
                <c:formatCode>0%</c:formatCode>
                <c:ptCount val="1"/>
                <c:pt idx="0">
                  <c:v>-2.1814393833656489E-2</c:v>
                </c:pt>
              </c:numCache>
            </c:numRef>
          </c:val>
          <c:extLst>
            <c:ext xmlns:c16="http://schemas.microsoft.com/office/drawing/2014/chart" uri="{C3380CC4-5D6E-409C-BE32-E72D297353CC}">
              <c16:uniqueId val="{00000008-255D-4933-B5DB-5F6753A4F2DA}"/>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Desarrollo!$E$81:$F$81</c15:sqref>
                  </c15:fullRef>
                </c:ext>
              </c:extLst>
              <c:f>Desarrollo!$E$81</c:f>
              <c:numCache>
                <c:formatCode>0%</c:formatCode>
                <c:ptCount val="1"/>
                <c:pt idx="0">
                  <c:v>-2.294260940139731E-2</c:v>
                </c:pt>
              </c:numCache>
            </c:numRef>
          </c:val>
          <c:extLst>
            <c:ext xmlns:c16="http://schemas.microsoft.com/office/drawing/2014/chart" uri="{C3380CC4-5D6E-409C-BE32-E72D297353CC}">
              <c16:uniqueId val="{00000009-255D-4933-B5DB-5F6753A4F2DA}"/>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General" sourceLinked="0"/>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layout/>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manualLayout>
          <c:xMode val="edge"/>
          <c:yMode val="edge"/>
          <c:x val="0.12807739980809277"/>
          <c:y val="0.29464012978277215"/>
          <c:w val="0.87162273149109115"/>
          <c:h val="0.21608198472678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t>Margen</a:t>
            </a:r>
            <a:r>
              <a:rPr lang="es-MX" baseline="0"/>
              <a:t> de utilidad</a:t>
            </a:r>
            <a:endParaRPr lang="es-MX"/>
          </a:p>
        </c:rich>
      </c:tx>
      <c:layout>
        <c:manualLayout>
          <c:xMode val="edge"/>
          <c:yMode val="edge"/>
          <c:x val="0.15804196018329833"/>
          <c:y val="3.350083752093802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barChart>
        <c:barDir val="col"/>
        <c:grouping val="clustered"/>
        <c:varyColors val="0"/>
        <c:ser>
          <c:idx val="0"/>
          <c:order val="0"/>
          <c:tx>
            <c:v>ALFA</c:v>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Desarrollo!$E$82:$F$82</c15:sqref>
                  </c15:fullRef>
                </c:ext>
              </c:extLst>
              <c:f>Desarrollo!$E$82</c:f>
              <c:numCache>
                <c:formatCode>0%</c:formatCode>
                <c:ptCount val="1"/>
                <c:pt idx="0">
                  <c:v>4.9014486812113629E-2</c:v>
                </c:pt>
              </c:numCache>
            </c:numRef>
          </c:val>
          <c:extLst>
            <c:ext xmlns:c16="http://schemas.microsoft.com/office/drawing/2014/chart" uri="{C3380CC4-5D6E-409C-BE32-E72D297353CC}">
              <c16:uniqueId val="{00000000-D363-43E6-B762-74BFFE07CB06}"/>
            </c:ext>
          </c:extLst>
        </c:ser>
        <c:ser>
          <c:idx val="1"/>
          <c:order val="1"/>
          <c:tx>
            <c:v>América Móvil</c:v>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Desarrollo!$E$83:$F$83</c15:sqref>
                  </c15:fullRef>
                </c:ext>
              </c:extLst>
              <c:f>Desarrollo!$E$83</c:f>
              <c:numCache>
                <c:formatCode>0%</c:formatCode>
                <c:ptCount val="1"/>
                <c:pt idx="0">
                  <c:v>4.9433734798070415E-2</c:v>
                </c:pt>
              </c:numCache>
            </c:numRef>
          </c:val>
          <c:extLst>
            <c:ext xmlns:c16="http://schemas.microsoft.com/office/drawing/2014/chart" uri="{C3380CC4-5D6E-409C-BE32-E72D297353CC}">
              <c16:uniqueId val="{00000001-D363-43E6-B762-74BFFE07CB06}"/>
            </c:ext>
          </c:extLst>
        </c:ser>
        <c:ser>
          <c:idx val="2"/>
          <c:order val="2"/>
          <c:tx>
            <c:v>AXTEL</c:v>
          </c:tx>
          <c:spPr>
            <a:pattFill prst="narVert">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Desarrollo!$E$84:$F$84</c15:sqref>
                  </c15:fullRef>
                </c:ext>
              </c:extLst>
              <c:f>Desarrollo!$E$84</c:f>
              <c:numCache>
                <c:formatCode>0%</c:formatCode>
                <c:ptCount val="1"/>
                <c:pt idx="0">
                  <c:v>8.5598730858168964E-2</c:v>
                </c:pt>
              </c:numCache>
            </c:numRef>
          </c:val>
          <c:extLst>
            <c:ext xmlns:c16="http://schemas.microsoft.com/office/drawing/2014/chart" uri="{C3380CC4-5D6E-409C-BE32-E72D297353CC}">
              <c16:uniqueId val="{00000002-D363-43E6-B762-74BFFE07CB06}"/>
            </c:ext>
          </c:extLst>
        </c:ser>
        <c:ser>
          <c:idx val="3"/>
          <c:order val="3"/>
          <c:tx>
            <c:v>Cablevisión</c:v>
          </c:tx>
          <c:spPr>
            <a:pattFill prst="narVert">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Desarrollo!$E$85:$F$85</c15:sqref>
                  </c15:fullRef>
                </c:ext>
              </c:extLst>
              <c:f>Desarrollo!$E$85</c:f>
              <c:numCache>
                <c:formatCode>0%</c:formatCode>
                <c:ptCount val="1"/>
                <c:pt idx="0">
                  <c:v>7.9301901044381201E-2</c:v>
                </c:pt>
              </c:numCache>
            </c:numRef>
          </c:val>
          <c:extLst>
            <c:ext xmlns:c16="http://schemas.microsoft.com/office/drawing/2014/chart" uri="{C3380CC4-5D6E-409C-BE32-E72D297353CC}">
              <c16:uniqueId val="{00000003-D363-43E6-B762-74BFFE07CB06}"/>
            </c:ext>
          </c:extLst>
        </c:ser>
        <c:ser>
          <c:idx val="4"/>
          <c:order val="4"/>
          <c:tx>
            <c:v>Carso</c:v>
          </c:tx>
          <c:spPr>
            <a:pattFill prst="narVert">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Desarrollo!$E$86:$F$86</c15:sqref>
                  </c15:fullRef>
                </c:ext>
              </c:extLst>
              <c:f>Desarrollo!$E$86</c:f>
              <c:numCache>
                <c:formatCode>0%</c:formatCode>
                <c:ptCount val="1"/>
                <c:pt idx="0">
                  <c:v>0.10538185636144466</c:v>
                </c:pt>
              </c:numCache>
            </c:numRef>
          </c:val>
          <c:extLst>
            <c:ext xmlns:c16="http://schemas.microsoft.com/office/drawing/2014/chart" uri="{C3380CC4-5D6E-409C-BE32-E72D297353CC}">
              <c16:uniqueId val="{00000004-D363-43E6-B762-74BFFE07CB06}"/>
            </c:ext>
          </c:extLst>
        </c:ser>
        <c:ser>
          <c:idx val="5"/>
          <c:order val="5"/>
          <c:tx>
            <c:v>MAXCOM</c:v>
          </c:tx>
          <c:spPr>
            <a:pattFill prst="narVert">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Desarrollo!$E$87:$F$87</c15:sqref>
                  </c15:fullRef>
                </c:ext>
              </c:extLst>
              <c:f>Desarrollo!$E$87</c:f>
              <c:numCache>
                <c:formatCode>0%</c:formatCode>
                <c:ptCount val="1"/>
                <c:pt idx="0">
                  <c:v>-0.23974924823892127</c:v>
                </c:pt>
              </c:numCache>
            </c:numRef>
          </c:val>
          <c:extLst>
            <c:ext xmlns:c16="http://schemas.microsoft.com/office/drawing/2014/chart" uri="{C3380CC4-5D6E-409C-BE32-E72D297353CC}">
              <c16:uniqueId val="{00000005-D363-43E6-B762-74BFFE07CB06}"/>
            </c:ext>
          </c:extLst>
        </c:ser>
        <c:ser>
          <c:idx val="6"/>
          <c:order val="6"/>
          <c:tx>
            <c:v>Mega Cable</c:v>
          </c:tx>
          <c:spPr>
            <a:pattFill prst="narVert">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Desarrollo!$E$88:$F$88</c15:sqref>
                  </c15:fullRef>
                </c:ext>
              </c:extLst>
              <c:f>Desarrollo!$E$88</c:f>
              <c:numCache>
                <c:formatCode>0%</c:formatCode>
                <c:ptCount val="1"/>
                <c:pt idx="0">
                  <c:v>0.24443085516094931</c:v>
                </c:pt>
              </c:numCache>
            </c:numRef>
          </c:val>
          <c:extLst>
            <c:ext xmlns:c16="http://schemas.microsoft.com/office/drawing/2014/chart" uri="{C3380CC4-5D6E-409C-BE32-E72D297353CC}">
              <c16:uniqueId val="{00000006-D363-43E6-B762-74BFFE07CB06}"/>
            </c:ext>
          </c:extLst>
        </c:ser>
        <c:ser>
          <c:idx val="7"/>
          <c:order val="7"/>
          <c:tx>
            <c:v>Televisa</c:v>
          </c:tx>
          <c:spPr>
            <a:pattFill prst="narVert">
              <a:fgClr>
                <a:schemeClr val="accent2">
                  <a:lumMod val="60000"/>
                </a:schemeClr>
              </a:fgClr>
              <a:bgClr>
                <a:schemeClr val="accent2">
                  <a:lumMod val="60000"/>
                  <a:lumMod val="20000"/>
                  <a:lumOff val="80000"/>
                </a:schemeClr>
              </a:bgClr>
            </a:pattFill>
            <a:ln>
              <a:noFill/>
            </a:ln>
            <a:effectLst>
              <a:innerShdw blurRad="114300">
                <a:schemeClr val="accent2">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Desarrollo!$E$89:$F$89</c15:sqref>
                  </c15:fullRef>
                </c:ext>
              </c:extLst>
              <c:f>Desarrollo!$E$89</c:f>
              <c:numCache>
                <c:formatCode>0%</c:formatCode>
                <c:ptCount val="1"/>
                <c:pt idx="0">
                  <c:v>7.5188532633820748E-2</c:v>
                </c:pt>
              </c:numCache>
            </c:numRef>
          </c:val>
          <c:extLst>
            <c:ext xmlns:c16="http://schemas.microsoft.com/office/drawing/2014/chart" uri="{C3380CC4-5D6E-409C-BE32-E72D297353CC}">
              <c16:uniqueId val="{00000007-D363-43E6-B762-74BFFE07CB06}"/>
            </c:ext>
          </c:extLst>
        </c:ser>
        <c:ser>
          <c:idx val="8"/>
          <c:order val="8"/>
          <c:tx>
            <c:v>TELMEX</c:v>
          </c:tx>
          <c:spPr>
            <a:pattFill prst="narVert">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Desarrollo!$E$90:$F$90</c15:sqref>
                  </c15:fullRef>
                </c:ext>
              </c:extLst>
              <c:f>Desarrollo!$E$90</c:f>
              <c:numCache>
                <c:formatCode>0%</c:formatCode>
                <c:ptCount val="1"/>
                <c:pt idx="0">
                  <c:v>-4.1928063493145103E-2</c:v>
                </c:pt>
              </c:numCache>
            </c:numRef>
          </c:val>
          <c:extLst>
            <c:ext xmlns:c16="http://schemas.microsoft.com/office/drawing/2014/chart" uri="{C3380CC4-5D6E-409C-BE32-E72D297353CC}">
              <c16:uniqueId val="{00000008-D363-43E6-B762-74BFFE07CB06}"/>
            </c:ext>
          </c:extLst>
        </c:ser>
        <c:ser>
          <c:idx val="9"/>
          <c:order val="9"/>
          <c:tx>
            <c:v>TV Azteca</c:v>
          </c:tx>
          <c:spPr>
            <a:pattFill prst="narVert">
              <a:fgClr>
                <a:schemeClr val="accent4">
                  <a:lumMod val="60000"/>
                </a:schemeClr>
              </a:fgClr>
              <a:bgClr>
                <a:schemeClr val="accent4">
                  <a:lumMod val="60000"/>
                  <a:lumMod val="20000"/>
                  <a:lumOff val="80000"/>
                </a:schemeClr>
              </a:bgClr>
            </a:pattFill>
            <a:ln>
              <a:noFill/>
            </a:ln>
            <a:effectLst>
              <a:innerShdw blurRad="114300">
                <a:schemeClr val="accent4">
                  <a:lumMod val="60000"/>
                </a:schemeClr>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Desarrollo!$E$91:$F$91</c15:sqref>
                  </c15:fullRef>
                </c:ext>
              </c:extLst>
              <c:f>Desarrollo!$E$91</c:f>
              <c:numCache>
                <c:formatCode>0%</c:formatCode>
                <c:ptCount val="1"/>
                <c:pt idx="0">
                  <c:v>-4.4842166924871772E-2</c:v>
                </c:pt>
              </c:numCache>
            </c:numRef>
          </c:val>
          <c:extLst>
            <c:ext xmlns:c16="http://schemas.microsoft.com/office/drawing/2014/chart" uri="{C3380CC4-5D6E-409C-BE32-E72D297353CC}">
              <c16:uniqueId val="{00000009-D363-43E6-B762-74BFFE07CB06}"/>
            </c:ext>
          </c:extLst>
        </c:ser>
        <c:dLbls>
          <c:dLblPos val="outEnd"/>
          <c:showLegendKey val="0"/>
          <c:showVal val="1"/>
          <c:showCatName val="0"/>
          <c:showSerName val="0"/>
          <c:showPercent val="0"/>
          <c:showBubbleSize val="0"/>
        </c:dLbls>
        <c:gapWidth val="227"/>
        <c:overlap val="-48"/>
        <c:axId val="1845504847"/>
        <c:axId val="1845500687"/>
      </c:barChart>
      <c:catAx>
        <c:axId val="1845504847"/>
        <c:scaling>
          <c:orientation val="minMax"/>
        </c:scaling>
        <c:delete val="1"/>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Empresas</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General" sourceLinked="0"/>
        <c:majorTickMark val="none"/>
        <c:minorTickMark val="none"/>
        <c:tickLblPos val="nextTo"/>
        <c:crossAx val="1845500687"/>
        <c:crosses val="autoZero"/>
        <c:auto val="1"/>
        <c:lblAlgn val="ctr"/>
        <c:lblOffset val="100"/>
        <c:noMultiLvlLbl val="0"/>
      </c:catAx>
      <c:valAx>
        <c:axId val="1845500687"/>
        <c:scaling>
          <c:orientation val="minMax"/>
        </c:scaling>
        <c:delete val="0"/>
        <c:axPos val="l"/>
        <c:title>
          <c:tx>
            <c:rich>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r>
                  <a:rPr lang="es-MX"/>
                  <a:t>Veces</a:t>
                </a:r>
              </a:p>
            </c:rich>
          </c:tx>
          <c:layout/>
          <c:overlay val="0"/>
          <c:spPr>
            <a:noFill/>
            <a:ln>
              <a:noFill/>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5504847"/>
        <c:crosses val="autoZero"/>
        <c:crossBetween val="between"/>
      </c:valAx>
      <c:spPr>
        <a:noFill/>
        <a:ln>
          <a:noFill/>
        </a:ln>
        <a:effectLst/>
      </c:spPr>
    </c:plotArea>
    <c:legend>
      <c:legendPos val="t"/>
      <c:layout>
        <c:manualLayout>
          <c:xMode val="edge"/>
          <c:yMode val="edge"/>
          <c:x val="0.12807739980809277"/>
          <c:y val="0.29464012978277215"/>
          <c:w val="0.87162273149109115"/>
          <c:h val="0.21608198472678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hyperlink" Target="#Antecedentes!A1"/><Relationship Id="rId7" Type="http://schemas.openxmlformats.org/officeDocument/2006/relationships/hyperlink" Target="#Desarrollo!A1"/><Relationship Id="rId12" Type="http://schemas.openxmlformats.org/officeDocument/2006/relationships/image" Target="../media/image7.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11" Type="http://schemas.openxmlformats.org/officeDocument/2006/relationships/hyperlink" Target="#Conclusiones!A1"/><Relationship Id="rId5" Type="http://schemas.openxmlformats.org/officeDocument/2006/relationships/hyperlink" Target="#Datos!A1"/><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Ranking!A1"/></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3" Type="http://schemas.openxmlformats.org/officeDocument/2006/relationships/hyperlink" Target="#Desarrollo!A1"/><Relationship Id="rId7" Type="http://schemas.openxmlformats.org/officeDocument/2006/relationships/hyperlink" Target="#Conclusiones!A1"/><Relationship Id="rId2" Type="http://schemas.openxmlformats.org/officeDocument/2006/relationships/image" Target="../media/image4.jpeg"/><Relationship Id="rId1" Type="http://schemas.openxmlformats.org/officeDocument/2006/relationships/hyperlink" Target="#Datos!A1"/><Relationship Id="rId6" Type="http://schemas.openxmlformats.org/officeDocument/2006/relationships/image" Target="../media/image6.jpeg"/><Relationship Id="rId5" Type="http://schemas.openxmlformats.org/officeDocument/2006/relationships/hyperlink" Target="#Ranking!A1"/><Relationship Id="rId10" Type="http://schemas.openxmlformats.org/officeDocument/2006/relationships/image" Target="../media/image8.jpeg"/><Relationship Id="rId4" Type="http://schemas.openxmlformats.org/officeDocument/2006/relationships/image" Target="../media/image5.jpeg"/><Relationship Id="rId9" Type="http://schemas.openxmlformats.org/officeDocument/2006/relationships/hyperlink" Target="#Portada!A1"/></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hyperlink" Target="#Ranking!A1"/><Relationship Id="rId7" Type="http://schemas.openxmlformats.org/officeDocument/2006/relationships/hyperlink" Target="#Portada!A1"/><Relationship Id="rId2" Type="http://schemas.openxmlformats.org/officeDocument/2006/relationships/image" Target="../media/image5.jpeg"/><Relationship Id="rId1" Type="http://schemas.openxmlformats.org/officeDocument/2006/relationships/hyperlink" Target="#Desarrollo!A1"/><Relationship Id="rId6" Type="http://schemas.openxmlformats.org/officeDocument/2006/relationships/image" Target="../media/image7.jpeg"/><Relationship Id="rId5" Type="http://schemas.openxmlformats.org/officeDocument/2006/relationships/hyperlink" Target="#Conclusiones!A1"/><Relationship Id="rId10" Type="http://schemas.openxmlformats.org/officeDocument/2006/relationships/image" Target="../media/image3.png"/><Relationship Id="rId4" Type="http://schemas.openxmlformats.org/officeDocument/2006/relationships/image" Target="../media/image6.jpeg"/><Relationship Id="rId9" Type="http://schemas.openxmlformats.org/officeDocument/2006/relationships/hyperlink" Target="#Antecedentes!A1"/></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6.jpeg"/><Relationship Id="rId18" Type="http://schemas.openxmlformats.org/officeDocument/2006/relationships/image" Target="../media/image8.jpe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hyperlink" Target="#Ranking!A1"/><Relationship Id="rId17" Type="http://schemas.openxmlformats.org/officeDocument/2006/relationships/hyperlink" Target="#Portada!A1"/><Relationship Id="rId2" Type="http://schemas.openxmlformats.org/officeDocument/2006/relationships/chart" Target="../charts/chart2.xml"/><Relationship Id="rId16" Type="http://schemas.openxmlformats.org/officeDocument/2006/relationships/hyperlink" Target="#Desarrollo!A1"/><Relationship Id="rId20"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jpeg"/><Relationship Id="rId5" Type="http://schemas.openxmlformats.org/officeDocument/2006/relationships/chart" Target="../charts/chart5.xml"/><Relationship Id="rId15" Type="http://schemas.openxmlformats.org/officeDocument/2006/relationships/image" Target="../media/image7.jpeg"/><Relationship Id="rId10" Type="http://schemas.openxmlformats.org/officeDocument/2006/relationships/hyperlink" Target="#Datos!A1"/><Relationship Id="rId19" Type="http://schemas.openxmlformats.org/officeDocument/2006/relationships/hyperlink" Target="#Antecedentes!A1"/><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Conclusiones!A1"/></Relationships>
</file>

<file path=xl/drawings/_rels/drawing5.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hyperlink" Target="#Portada!A1"/><Relationship Id="rId7" Type="http://schemas.openxmlformats.org/officeDocument/2006/relationships/hyperlink" Target="#Desarrollo!A1"/><Relationship Id="rId2" Type="http://schemas.openxmlformats.org/officeDocument/2006/relationships/image" Target="../media/image4.jpeg"/><Relationship Id="rId1" Type="http://schemas.openxmlformats.org/officeDocument/2006/relationships/hyperlink" Target="#Datos!A1"/><Relationship Id="rId6" Type="http://schemas.openxmlformats.org/officeDocument/2006/relationships/image" Target="../media/image3.png"/><Relationship Id="rId5" Type="http://schemas.openxmlformats.org/officeDocument/2006/relationships/hyperlink" Target="#Antecedentes!A1"/><Relationship Id="rId10" Type="http://schemas.openxmlformats.org/officeDocument/2006/relationships/image" Target="../media/image7.jpeg"/><Relationship Id="rId4" Type="http://schemas.openxmlformats.org/officeDocument/2006/relationships/image" Target="../media/image8.jpeg"/><Relationship Id="rId9" Type="http://schemas.openxmlformats.org/officeDocument/2006/relationships/hyperlink" Target="#Conclusiones!A1"/></Relationships>
</file>

<file path=xl/drawings/_rels/drawing6.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hyperlink" Target="#Portada!A1"/><Relationship Id="rId7" Type="http://schemas.openxmlformats.org/officeDocument/2006/relationships/hyperlink" Target="#Desarrollo!A1"/><Relationship Id="rId2" Type="http://schemas.openxmlformats.org/officeDocument/2006/relationships/image" Target="../media/image4.jpeg"/><Relationship Id="rId1" Type="http://schemas.openxmlformats.org/officeDocument/2006/relationships/hyperlink" Target="#Datos!A1"/><Relationship Id="rId6" Type="http://schemas.openxmlformats.org/officeDocument/2006/relationships/image" Target="../media/image3.png"/><Relationship Id="rId5" Type="http://schemas.openxmlformats.org/officeDocument/2006/relationships/hyperlink" Target="#Antecedentes!A1"/><Relationship Id="rId10" Type="http://schemas.openxmlformats.org/officeDocument/2006/relationships/image" Target="../media/image6.jpeg"/><Relationship Id="rId4" Type="http://schemas.openxmlformats.org/officeDocument/2006/relationships/image" Target="../media/image8.jpeg"/><Relationship Id="rId9" Type="http://schemas.openxmlformats.org/officeDocument/2006/relationships/hyperlink" Target="#Ranking!A1"/></Relationships>
</file>

<file path=xl/drawings/drawing1.xml><?xml version="1.0" encoding="utf-8"?>
<xdr:wsDr xmlns:xdr="http://schemas.openxmlformats.org/drawingml/2006/spreadsheetDrawing" xmlns:a="http://schemas.openxmlformats.org/drawingml/2006/main">
  <xdr:twoCellAnchor editAs="oneCell">
    <xdr:from>
      <xdr:col>0</xdr:col>
      <xdr:colOff>142875</xdr:colOff>
      <xdr:row>1</xdr:row>
      <xdr:rowOff>47625</xdr:rowOff>
    </xdr:from>
    <xdr:to>
      <xdr:col>2</xdr:col>
      <xdr:colOff>209550</xdr:colOff>
      <xdr:row>12</xdr:row>
      <xdr:rowOff>136525</xdr:rowOff>
    </xdr:to>
    <xdr:pic>
      <xdr:nvPicPr>
        <xdr:cNvPr id="2" name="27 Imagen" descr="ipn.png">
          <a:extLst>
            <a:ext uri="{FF2B5EF4-FFF2-40B4-BE49-F238E27FC236}">
              <a16:creationId xmlns:a16="http://schemas.microsoft.com/office/drawing/2014/main" id="{00000000-0008-0000-0000-00001C000000}"/>
            </a:ext>
          </a:extLst>
        </xdr:cNvPr>
        <xdr:cNvPicPr>
          <a:picLocks noChangeAspect="1"/>
        </xdr:cNvPicPr>
      </xdr:nvPicPr>
      <xdr:blipFill rotWithShape="1">
        <a:blip xmlns:r="http://schemas.openxmlformats.org/officeDocument/2006/relationships" r:embed="rId1"/>
        <a:srcRect l="14571" r="13857"/>
        <a:stretch/>
      </xdr:blipFill>
      <xdr:spPr>
        <a:xfrm>
          <a:off x="142875" y="238125"/>
          <a:ext cx="1590675" cy="2222500"/>
        </a:xfrm>
        <a:prstGeom prst="rect">
          <a:avLst/>
        </a:prstGeom>
      </xdr:spPr>
    </xdr:pic>
    <xdr:clientData/>
  </xdr:twoCellAnchor>
  <xdr:twoCellAnchor editAs="oneCell">
    <xdr:from>
      <xdr:col>6</xdr:col>
      <xdr:colOff>657225</xdr:colOff>
      <xdr:row>3</xdr:row>
      <xdr:rowOff>85725</xdr:rowOff>
    </xdr:from>
    <xdr:to>
      <xdr:col>9</xdr:col>
      <xdr:colOff>393195</xdr:colOff>
      <xdr:row>10</xdr:row>
      <xdr:rowOff>171450</xdr:rowOff>
    </xdr:to>
    <xdr:pic>
      <xdr:nvPicPr>
        <xdr:cNvPr id="3" name="22 Imagen" descr="escom.png">
          <a:extLst>
            <a:ext uri="{FF2B5EF4-FFF2-40B4-BE49-F238E27FC236}">
              <a16:creationId xmlns:a16="http://schemas.microsoft.com/office/drawing/2014/main" id="{00000000-0008-0000-0000-000017000000}"/>
            </a:ext>
          </a:extLst>
        </xdr:cNvPr>
        <xdr:cNvPicPr>
          <a:picLocks noChangeAspect="1"/>
        </xdr:cNvPicPr>
      </xdr:nvPicPr>
      <xdr:blipFill rotWithShape="1">
        <a:blip xmlns:r="http://schemas.openxmlformats.org/officeDocument/2006/relationships" r:embed="rId2"/>
        <a:srcRect t="10028" b="16530"/>
        <a:stretch/>
      </xdr:blipFill>
      <xdr:spPr>
        <a:xfrm>
          <a:off x="5229225" y="657225"/>
          <a:ext cx="2021970" cy="1457325"/>
        </a:xfrm>
        <a:prstGeom prst="rect">
          <a:avLst/>
        </a:prstGeom>
      </xdr:spPr>
    </xdr:pic>
    <xdr:clientData/>
  </xdr:twoCellAnchor>
  <xdr:twoCellAnchor>
    <xdr:from>
      <xdr:col>0</xdr:col>
      <xdr:colOff>409575</xdr:colOff>
      <xdr:row>31</xdr:row>
      <xdr:rowOff>76200</xdr:rowOff>
    </xdr:from>
    <xdr:to>
      <xdr:col>2</xdr:col>
      <xdr:colOff>571500</xdr:colOff>
      <xdr:row>32</xdr:row>
      <xdr:rowOff>180975</xdr:rowOff>
    </xdr:to>
    <xdr:sp macro="" textlink="">
      <xdr:nvSpPr>
        <xdr:cNvPr id="7" name="Rectángulo redondeado 6">
          <a:hlinkClick xmlns:r="http://schemas.openxmlformats.org/officeDocument/2006/relationships" r:id="rId3"/>
        </xdr:cNvPr>
        <xdr:cNvSpPr/>
      </xdr:nvSpPr>
      <xdr:spPr>
        <a:xfrm>
          <a:off x="409575" y="6115050"/>
          <a:ext cx="16859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Antecedentes.</a:t>
          </a:r>
        </a:p>
      </xdr:txBody>
    </xdr:sp>
    <xdr:clientData/>
  </xdr:twoCellAnchor>
  <xdr:twoCellAnchor editAs="oneCell">
    <xdr:from>
      <xdr:col>0</xdr:col>
      <xdr:colOff>238125</xdr:colOff>
      <xdr:row>23</xdr:row>
      <xdr:rowOff>104775</xdr:rowOff>
    </xdr:from>
    <xdr:to>
      <xdr:col>2</xdr:col>
      <xdr:colOff>647700</xdr:colOff>
      <xdr:row>30</xdr:row>
      <xdr:rowOff>105442</xdr:rowOff>
    </xdr:to>
    <xdr:pic>
      <xdr:nvPicPr>
        <xdr:cNvPr id="8" name="Imagen 7">
          <a:hlinkClick xmlns:r="http://schemas.openxmlformats.org/officeDocument/2006/relationships" r:id="rId3"/>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8125" y="4619625"/>
          <a:ext cx="1933575" cy="1334167"/>
        </a:xfrm>
        <a:prstGeom prst="rect">
          <a:avLst/>
        </a:prstGeom>
        <a:solidFill>
          <a:schemeClr val="accent1">
            <a:lumMod val="60000"/>
            <a:lumOff val="40000"/>
          </a:schemeClr>
        </a:solidFill>
      </xdr:spPr>
    </xdr:pic>
    <xdr:clientData/>
  </xdr:twoCellAnchor>
  <xdr:twoCellAnchor>
    <xdr:from>
      <xdr:col>3</xdr:col>
      <xdr:colOff>323850</xdr:colOff>
      <xdr:row>31</xdr:row>
      <xdr:rowOff>57150</xdr:rowOff>
    </xdr:from>
    <xdr:to>
      <xdr:col>5</xdr:col>
      <xdr:colOff>523875</xdr:colOff>
      <xdr:row>32</xdr:row>
      <xdr:rowOff>180975</xdr:rowOff>
    </xdr:to>
    <xdr:sp macro="" textlink="">
      <xdr:nvSpPr>
        <xdr:cNvPr id="9" name="Rectángulo redondeado 8">
          <a:hlinkClick xmlns:r="http://schemas.openxmlformats.org/officeDocument/2006/relationships" r:id="rId5"/>
        </xdr:cNvPr>
        <xdr:cNvSpPr/>
      </xdr:nvSpPr>
      <xdr:spPr>
        <a:xfrm>
          <a:off x="2609850" y="6096000"/>
          <a:ext cx="1724025" cy="314325"/>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8</xdr:col>
      <xdr:colOff>0</xdr:colOff>
      <xdr:row>29</xdr:row>
      <xdr:rowOff>0</xdr:rowOff>
    </xdr:from>
    <xdr:to>
      <xdr:col>8</xdr:col>
      <xdr:colOff>304800</xdr:colOff>
      <xdr:row>30</xdr:row>
      <xdr:rowOff>114300</xdr:rowOff>
    </xdr:to>
    <xdr:sp macro="" textlink="">
      <xdr:nvSpPr>
        <xdr:cNvPr id="1030" name="AutoShape 6" descr="Resultado de imagen para portapapeles animado"/>
        <xdr:cNvSpPr>
          <a:spLocks noChangeAspect="1" noChangeArrowheads="1"/>
        </xdr:cNvSpPr>
      </xdr:nvSpPr>
      <xdr:spPr bwMode="auto">
        <a:xfrm>
          <a:off x="6096000" y="5657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29</xdr:row>
      <xdr:rowOff>0</xdr:rowOff>
    </xdr:from>
    <xdr:to>
      <xdr:col>8</xdr:col>
      <xdr:colOff>304800</xdr:colOff>
      <xdr:row>30</xdr:row>
      <xdr:rowOff>114300</xdr:rowOff>
    </xdr:to>
    <xdr:sp macro="" textlink="">
      <xdr:nvSpPr>
        <xdr:cNvPr id="1031" name="AutoShape 7" descr="Resultado de imagen para portapapeles animado"/>
        <xdr:cNvSpPr>
          <a:spLocks noChangeAspect="1" noChangeArrowheads="1"/>
        </xdr:cNvSpPr>
      </xdr:nvSpPr>
      <xdr:spPr bwMode="auto">
        <a:xfrm>
          <a:off x="6096000" y="5657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29</xdr:row>
      <xdr:rowOff>0</xdr:rowOff>
    </xdr:from>
    <xdr:to>
      <xdr:col>8</xdr:col>
      <xdr:colOff>304800</xdr:colOff>
      <xdr:row>30</xdr:row>
      <xdr:rowOff>114300</xdr:rowOff>
    </xdr:to>
    <xdr:sp macro="" textlink="">
      <xdr:nvSpPr>
        <xdr:cNvPr id="1032" name="AutoShape 8" descr="Resultado de imagen para portapapeles animado"/>
        <xdr:cNvSpPr>
          <a:spLocks noChangeAspect="1" noChangeArrowheads="1"/>
        </xdr:cNvSpPr>
      </xdr:nvSpPr>
      <xdr:spPr bwMode="auto">
        <a:xfrm>
          <a:off x="6096000" y="5657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628649</xdr:colOff>
      <xdr:row>22</xdr:row>
      <xdr:rowOff>152400</xdr:rowOff>
    </xdr:from>
    <xdr:to>
      <xdr:col>5</xdr:col>
      <xdr:colOff>228600</xdr:colOff>
      <xdr:row>30</xdr:row>
      <xdr:rowOff>85500</xdr:rowOff>
    </xdr:to>
    <xdr:pic>
      <xdr:nvPicPr>
        <xdr:cNvPr id="18" name="Imagen 17" descr="Resultado de imagen para portapapeles animado">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8521" r="19038"/>
        <a:stretch/>
      </xdr:blipFill>
      <xdr:spPr bwMode="auto">
        <a:xfrm>
          <a:off x="2914649" y="4476750"/>
          <a:ext cx="1123951" cy="1457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361951</xdr:colOff>
      <xdr:row>23</xdr:row>
      <xdr:rowOff>171450</xdr:rowOff>
    </xdr:from>
    <xdr:to>
      <xdr:col>8</xdr:col>
      <xdr:colOff>243687</xdr:colOff>
      <xdr:row>30</xdr:row>
      <xdr:rowOff>142876</xdr:rowOff>
    </xdr:to>
    <xdr:pic>
      <xdr:nvPicPr>
        <xdr:cNvPr id="19" name="Imagen 18" descr="Resultado de imagen para martillo y serrucho animados">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5001" t="11000" r="11333" b="11334"/>
        <a:stretch/>
      </xdr:blipFill>
      <xdr:spPr bwMode="auto">
        <a:xfrm>
          <a:off x="4933951" y="4686300"/>
          <a:ext cx="1405736" cy="1304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247650</xdr:colOff>
      <xdr:row>31</xdr:row>
      <xdr:rowOff>57150</xdr:rowOff>
    </xdr:from>
    <xdr:to>
      <xdr:col>8</xdr:col>
      <xdr:colOff>381000</xdr:colOff>
      <xdr:row>32</xdr:row>
      <xdr:rowOff>180975</xdr:rowOff>
    </xdr:to>
    <xdr:sp macro="" textlink="">
      <xdr:nvSpPr>
        <xdr:cNvPr id="13" name="Rectángulo redondeado 12">
          <a:hlinkClick xmlns:r="http://schemas.openxmlformats.org/officeDocument/2006/relationships" r:id="rId7"/>
        </xdr:cNvPr>
        <xdr:cNvSpPr/>
      </xdr:nvSpPr>
      <xdr:spPr>
        <a:xfrm>
          <a:off x="4819650" y="6096000"/>
          <a:ext cx="1657350" cy="3143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Desarrollo.</a:t>
          </a:r>
        </a:p>
      </xdr:txBody>
    </xdr:sp>
    <xdr:clientData/>
  </xdr:twoCellAnchor>
  <xdr:twoCellAnchor editAs="oneCell">
    <xdr:from>
      <xdr:col>1</xdr:col>
      <xdr:colOff>695325</xdr:colOff>
      <xdr:row>36</xdr:row>
      <xdr:rowOff>114300</xdr:rowOff>
    </xdr:from>
    <xdr:to>
      <xdr:col>4</xdr:col>
      <xdr:colOff>9525</xdr:colOff>
      <xdr:row>42</xdr:row>
      <xdr:rowOff>28576</xdr:rowOff>
    </xdr:to>
    <xdr:pic>
      <xdr:nvPicPr>
        <xdr:cNvPr id="21" name="Imagen 20" descr="Resultado de imagen para podium animado">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6350" t="20637" r="4750" b="20624"/>
        <a:stretch/>
      </xdr:blipFill>
      <xdr:spPr bwMode="auto">
        <a:xfrm>
          <a:off x="1457325" y="7105650"/>
          <a:ext cx="1600200" cy="10572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428625</xdr:colOff>
      <xdr:row>43</xdr:row>
      <xdr:rowOff>133350</xdr:rowOff>
    </xdr:from>
    <xdr:to>
      <xdr:col>4</xdr:col>
      <xdr:colOff>0</xdr:colOff>
      <xdr:row>45</xdr:row>
      <xdr:rowOff>9525</xdr:rowOff>
    </xdr:to>
    <xdr:sp macro="" textlink="">
      <xdr:nvSpPr>
        <xdr:cNvPr id="14" name="Rectángulo redondeado 13">
          <a:hlinkClick xmlns:r="http://schemas.openxmlformats.org/officeDocument/2006/relationships" r:id="rId9"/>
        </xdr:cNvPr>
        <xdr:cNvSpPr/>
      </xdr:nvSpPr>
      <xdr:spPr>
        <a:xfrm>
          <a:off x="1190625" y="8458200"/>
          <a:ext cx="1857375"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Ranking.</a:t>
          </a:r>
        </a:p>
      </xdr:txBody>
    </xdr:sp>
    <xdr:clientData/>
  </xdr:twoCellAnchor>
  <xdr:twoCellAnchor editAs="oneCell">
    <xdr:from>
      <xdr:col>4</xdr:col>
      <xdr:colOff>752475</xdr:colOff>
      <xdr:row>34</xdr:row>
      <xdr:rowOff>0</xdr:rowOff>
    </xdr:from>
    <xdr:to>
      <xdr:col>7</xdr:col>
      <xdr:colOff>216629</xdr:colOff>
      <xdr:row>43</xdr:row>
      <xdr:rowOff>85500</xdr:rowOff>
    </xdr:to>
    <xdr:pic>
      <xdr:nvPicPr>
        <xdr:cNvPr id="23" name="Imagen 22" descr="Resultado de imagen para imagenes de conclusiones animadas">
          <a:hlinkClick xmlns:r="http://schemas.openxmlformats.org/officeDocument/2006/relationships" r:id="rId11"/>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800475" y="6610350"/>
          <a:ext cx="1750154" cy="18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514350</xdr:colOff>
      <xdr:row>43</xdr:row>
      <xdr:rowOff>114300</xdr:rowOff>
    </xdr:from>
    <xdr:to>
      <xdr:col>7</xdr:col>
      <xdr:colOff>476250</xdr:colOff>
      <xdr:row>44</xdr:row>
      <xdr:rowOff>180975</xdr:rowOff>
    </xdr:to>
    <xdr:sp macro="" textlink="">
      <xdr:nvSpPr>
        <xdr:cNvPr id="15" name="Rectángulo redondeado 14">
          <a:hlinkClick xmlns:r="http://schemas.openxmlformats.org/officeDocument/2006/relationships" r:id="rId11"/>
        </xdr:cNvPr>
        <xdr:cNvSpPr/>
      </xdr:nvSpPr>
      <xdr:spPr>
        <a:xfrm>
          <a:off x="3562350" y="8439150"/>
          <a:ext cx="2247900"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Conclusiones.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323850</xdr:colOff>
      <xdr:row>22</xdr:row>
      <xdr:rowOff>57150</xdr:rowOff>
    </xdr:from>
    <xdr:to>
      <xdr:col>5</xdr:col>
      <xdr:colOff>523875</xdr:colOff>
      <xdr:row>23</xdr:row>
      <xdr:rowOff>180975</xdr:rowOff>
    </xdr:to>
    <xdr:sp macro="" textlink="">
      <xdr:nvSpPr>
        <xdr:cNvPr id="2" name="Rectángulo redondeado 1">
          <a:hlinkClick xmlns:r="http://schemas.openxmlformats.org/officeDocument/2006/relationships" r:id="rId1"/>
        </xdr:cNvPr>
        <xdr:cNvSpPr/>
      </xdr:nvSpPr>
      <xdr:spPr>
        <a:xfrm>
          <a:off x="2609850" y="6096000"/>
          <a:ext cx="1724025" cy="314325"/>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8</xdr:col>
      <xdr:colOff>0</xdr:colOff>
      <xdr:row>20</xdr:row>
      <xdr:rowOff>0</xdr:rowOff>
    </xdr:from>
    <xdr:to>
      <xdr:col>8</xdr:col>
      <xdr:colOff>304800</xdr:colOff>
      <xdr:row>21</xdr:row>
      <xdr:rowOff>114300</xdr:rowOff>
    </xdr:to>
    <xdr:sp macro="" textlink="">
      <xdr:nvSpPr>
        <xdr:cNvPr id="3" name="AutoShape 6" descr="Resultado de imagen para portapapeles animado"/>
        <xdr:cNvSpPr>
          <a:spLocks noChangeAspect="1" noChangeArrowheads="1"/>
        </xdr:cNvSpPr>
      </xdr:nvSpPr>
      <xdr:spPr bwMode="auto">
        <a:xfrm>
          <a:off x="6096000" y="5657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xdr:row>
      <xdr:rowOff>0</xdr:rowOff>
    </xdr:from>
    <xdr:to>
      <xdr:col>8</xdr:col>
      <xdr:colOff>304800</xdr:colOff>
      <xdr:row>21</xdr:row>
      <xdr:rowOff>114300</xdr:rowOff>
    </xdr:to>
    <xdr:sp macro="" textlink="">
      <xdr:nvSpPr>
        <xdr:cNvPr id="4" name="AutoShape 7" descr="Resultado de imagen para portapapeles animado"/>
        <xdr:cNvSpPr>
          <a:spLocks noChangeAspect="1" noChangeArrowheads="1"/>
        </xdr:cNvSpPr>
      </xdr:nvSpPr>
      <xdr:spPr bwMode="auto">
        <a:xfrm>
          <a:off x="6096000" y="5657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xdr:row>
      <xdr:rowOff>0</xdr:rowOff>
    </xdr:from>
    <xdr:to>
      <xdr:col>8</xdr:col>
      <xdr:colOff>304800</xdr:colOff>
      <xdr:row>21</xdr:row>
      <xdr:rowOff>114300</xdr:rowOff>
    </xdr:to>
    <xdr:sp macro="" textlink="">
      <xdr:nvSpPr>
        <xdr:cNvPr id="5" name="AutoShape 8" descr="Resultado de imagen para portapapeles animado"/>
        <xdr:cNvSpPr>
          <a:spLocks noChangeAspect="1" noChangeArrowheads="1"/>
        </xdr:cNvSpPr>
      </xdr:nvSpPr>
      <xdr:spPr bwMode="auto">
        <a:xfrm>
          <a:off x="6096000" y="5657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628649</xdr:colOff>
      <xdr:row>13</xdr:row>
      <xdr:rowOff>152400</xdr:rowOff>
    </xdr:from>
    <xdr:to>
      <xdr:col>5</xdr:col>
      <xdr:colOff>228600</xdr:colOff>
      <xdr:row>21</xdr:row>
      <xdr:rowOff>85500</xdr:rowOff>
    </xdr:to>
    <xdr:pic>
      <xdr:nvPicPr>
        <xdr:cNvPr id="6" name="Imagen 5" descr="Resultado de imagen para portapapeles animado">
          <a:hlinkClick xmlns:r="http://schemas.openxmlformats.org/officeDocument/2006/relationships" r:id="rId1"/>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8521" r="19038"/>
        <a:stretch/>
      </xdr:blipFill>
      <xdr:spPr bwMode="auto">
        <a:xfrm>
          <a:off x="2914649" y="4476750"/>
          <a:ext cx="1123951" cy="1457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361951</xdr:colOff>
      <xdr:row>14</xdr:row>
      <xdr:rowOff>171450</xdr:rowOff>
    </xdr:from>
    <xdr:to>
      <xdr:col>8</xdr:col>
      <xdr:colOff>243687</xdr:colOff>
      <xdr:row>21</xdr:row>
      <xdr:rowOff>142876</xdr:rowOff>
    </xdr:to>
    <xdr:pic>
      <xdr:nvPicPr>
        <xdr:cNvPr id="7" name="Imagen 6" descr="Resultado de imagen para martillo y serrucho animados">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001" t="11000" r="11333" b="11334"/>
        <a:stretch/>
      </xdr:blipFill>
      <xdr:spPr bwMode="auto">
        <a:xfrm>
          <a:off x="4933951" y="4686300"/>
          <a:ext cx="1405736" cy="1304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247650</xdr:colOff>
      <xdr:row>22</xdr:row>
      <xdr:rowOff>57150</xdr:rowOff>
    </xdr:from>
    <xdr:to>
      <xdr:col>8</xdr:col>
      <xdr:colOff>381000</xdr:colOff>
      <xdr:row>23</xdr:row>
      <xdr:rowOff>180975</xdr:rowOff>
    </xdr:to>
    <xdr:sp macro="" textlink="">
      <xdr:nvSpPr>
        <xdr:cNvPr id="8" name="Rectángulo redondeado 7">
          <a:hlinkClick xmlns:r="http://schemas.openxmlformats.org/officeDocument/2006/relationships" r:id="rId3"/>
        </xdr:cNvPr>
        <xdr:cNvSpPr/>
      </xdr:nvSpPr>
      <xdr:spPr>
        <a:xfrm>
          <a:off x="4819650" y="6096000"/>
          <a:ext cx="1657350" cy="3143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Desarrollo.</a:t>
          </a:r>
        </a:p>
      </xdr:txBody>
    </xdr:sp>
    <xdr:clientData/>
  </xdr:twoCellAnchor>
  <xdr:twoCellAnchor editAs="oneCell">
    <xdr:from>
      <xdr:col>9</xdr:col>
      <xdr:colOff>695325</xdr:colOff>
      <xdr:row>15</xdr:row>
      <xdr:rowOff>114300</xdr:rowOff>
    </xdr:from>
    <xdr:to>
      <xdr:col>12</xdr:col>
      <xdr:colOff>9525</xdr:colOff>
      <xdr:row>21</xdr:row>
      <xdr:rowOff>28576</xdr:rowOff>
    </xdr:to>
    <xdr:pic>
      <xdr:nvPicPr>
        <xdr:cNvPr id="9" name="Imagen 8" descr="Resultado de imagen para podium animado">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350" t="20637" r="4750" b="20624"/>
        <a:stretch/>
      </xdr:blipFill>
      <xdr:spPr bwMode="auto">
        <a:xfrm>
          <a:off x="1457325" y="7105650"/>
          <a:ext cx="1600200" cy="10572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428625</xdr:colOff>
      <xdr:row>22</xdr:row>
      <xdr:rowOff>133350</xdr:rowOff>
    </xdr:from>
    <xdr:to>
      <xdr:col>12</xdr:col>
      <xdr:colOff>0</xdr:colOff>
      <xdr:row>24</xdr:row>
      <xdr:rowOff>9525</xdr:rowOff>
    </xdr:to>
    <xdr:sp macro="" textlink="">
      <xdr:nvSpPr>
        <xdr:cNvPr id="10" name="Rectángulo redondeado 9">
          <a:hlinkClick xmlns:r="http://schemas.openxmlformats.org/officeDocument/2006/relationships" r:id="rId5"/>
        </xdr:cNvPr>
        <xdr:cNvSpPr/>
      </xdr:nvSpPr>
      <xdr:spPr>
        <a:xfrm>
          <a:off x="1190625" y="8458200"/>
          <a:ext cx="1857375"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Ranking.</a:t>
          </a:r>
        </a:p>
      </xdr:txBody>
    </xdr:sp>
    <xdr:clientData/>
  </xdr:twoCellAnchor>
  <xdr:twoCellAnchor editAs="oneCell">
    <xdr:from>
      <xdr:col>12</xdr:col>
      <xdr:colOff>752475</xdr:colOff>
      <xdr:row>13</xdr:row>
      <xdr:rowOff>0</xdr:rowOff>
    </xdr:from>
    <xdr:to>
      <xdr:col>15</xdr:col>
      <xdr:colOff>216629</xdr:colOff>
      <xdr:row>22</xdr:row>
      <xdr:rowOff>85500</xdr:rowOff>
    </xdr:to>
    <xdr:pic>
      <xdr:nvPicPr>
        <xdr:cNvPr id="11" name="Imagen 10" descr="Resultado de imagen para imagenes de conclusiones animadas">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800475" y="6610350"/>
          <a:ext cx="1750154" cy="18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514350</xdr:colOff>
      <xdr:row>22</xdr:row>
      <xdr:rowOff>114300</xdr:rowOff>
    </xdr:from>
    <xdr:to>
      <xdr:col>15</xdr:col>
      <xdr:colOff>476250</xdr:colOff>
      <xdr:row>23</xdr:row>
      <xdr:rowOff>180975</xdr:rowOff>
    </xdr:to>
    <xdr:sp macro="" textlink="">
      <xdr:nvSpPr>
        <xdr:cNvPr id="12" name="Rectángulo redondeado 11">
          <a:hlinkClick xmlns:r="http://schemas.openxmlformats.org/officeDocument/2006/relationships" r:id="rId7"/>
        </xdr:cNvPr>
        <xdr:cNvSpPr/>
      </xdr:nvSpPr>
      <xdr:spPr>
        <a:xfrm>
          <a:off x="3562350" y="8439150"/>
          <a:ext cx="2247900"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Conclusiones.</a:t>
          </a:r>
        </a:p>
      </xdr:txBody>
    </xdr:sp>
    <xdr:clientData/>
  </xdr:twoCellAnchor>
  <xdr:twoCellAnchor>
    <xdr:from>
      <xdr:col>0</xdr:col>
      <xdr:colOff>514350</xdr:colOff>
      <xdr:row>22</xdr:row>
      <xdr:rowOff>66675</xdr:rowOff>
    </xdr:from>
    <xdr:to>
      <xdr:col>2</xdr:col>
      <xdr:colOff>647700</xdr:colOff>
      <xdr:row>23</xdr:row>
      <xdr:rowOff>180975</xdr:rowOff>
    </xdr:to>
    <xdr:sp macro="" textlink="">
      <xdr:nvSpPr>
        <xdr:cNvPr id="13" name="Rectángulo redondeado 12">
          <a:hlinkClick xmlns:r="http://schemas.openxmlformats.org/officeDocument/2006/relationships" r:id="rId9"/>
        </xdr:cNvPr>
        <xdr:cNvSpPr/>
      </xdr:nvSpPr>
      <xdr:spPr>
        <a:xfrm>
          <a:off x="514350" y="26812875"/>
          <a:ext cx="165735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638176</xdr:colOff>
      <xdr:row>14</xdr:row>
      <xdr:rowOff>76200</xdr:rowOff>
    </xdr:from>
    <xdr:to>
      <xdr:col>2</xdr:col>
      <xdr:colOff>514350</xdr:colOff>
      <xdr:row>21</xdr:row>
      <xdr:rowOff>95063</xdr:rowOff>
    </xdr:to>
    <xdr:pic>
      <xdr:nvPicPr>
        <xdr:cNvPr id="14" name="Imagen 13" descr="Resultado de imagen para docs animados">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16981" t="5000" r="18554" b="29000"/>
        <a:stretch/>
      </xdr:blipFill>
      <xdr:spPr bwMode="auto">
        <a:xfrm>
          <a:off x="638176" y="25298400"/>
          <a:ext cx="1400174" cy="1352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0</xdr:colOff>
      <xdr:row>58</xdr:row>
      <xdr:rowOff>0</xdr:rowOff>
    </xdr:from>
    <xdr:to>
      <xdr:col>8</xdr:col>
      <xdr:colOff>304800</xdr:colOff>
      <xdr:row>59</xdr:row>
      <xdr:rowOff>114300</xdr:rowOff>
    </xdr:to>
    <xdr:sp macro="" textlink="">
      <xdr:nvSpPr>
        <xdr:cNvPr id="3" name="AutoShape 6" descr="Resultado de imagen para portapapeles animado"/>
        <xdr:cNvSpPr>
          <a:spLocks noChangeAspect="1" noChangeArrowheads="1"/>
        </xdr:cNvSpPr>
      </xdr:nvSpPr>
      <xdr:spPr bwMode="auto">
        <a:xfrm>
          <a:off x="6096000" y="2636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58</xdr:row>
      <xdr:rowOff>0</xdr:rowOff>
    </xdr:from>
    <xdr:to>
      <xdr:col>8</xdr:col>
      <xdr:colOff>304800</xdr:colOff>
      <xdr:row>59</xdr:row>
      <xdr:rowOff>114300</xdr:rowOff>
    </xdr:to>
    <xdr:sp macro="" textlink="">
      <xdr:nvSpPr>
        <xdr:cNvPr id="4" name="AutoShape 7" descr="Resultado de imagen para portapapeles animado"/>
        <xdr:cNvSpPr>
          <a:spLocks noChangeAspect="1" noChangeArrowheads="1"/>
        </xdr:cNvSpPr>
      </xdr:nvSpPr>
      <xdr:spPr bwMode="auto">
        <a:xfrm>
          <a:off x="6096000" y="2636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58</xdr:row>
      <xdr:rowOff>0</xdr:rowOff>
    </xdr:from>
    <xdr:to>
      <xdr:col>8</xdr:col>
      <xdr:colOff>304800</xdr:colOff>
      <xdr:row>59</xdr:row>
      <xdr:rowOff>114300</xdr:rowOff>
    </xdr:to>
    <xdr:sp macro="" textlink="">
      <xdr:nvSpPr>
        <xdr:cNvPr id="5" name="AutoShape 8" descr="Resultado de imagen para portapapeles animado"/>
        <xdr:cNvSpPr>
          <a:spLocks noChangeAspect="1" noChangeArrowheads="1"/>
        </xdr:cNvSpPr>
      </xdr:nvSpPr>
      <xdr:spPr bwMode="auto">
        <a:xfrm>
          <a:off x="6096000" y="2636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609601</xdr:colOff>
      <xdr:row>52</xdr:row>
      <xdr:rowOff>171450</xdr:rowOff>
    </xdr:from>
    <xdr:to>
      <xdr:col>7</xdr:col>
      <xdr:colOff>453237</xdr:colOff>
      <xdr:row>59</xdr:row>
      <xdr:rowOff>142876</xdr:rowOff>
    </xdr:to>
    <xdr:pic>
      <xdr:nvPicPr>
        <xdr:cNvPr id="7" name="Imagen 6" descr="Resultado de imagen para martillo y serrucho animados">
          <a:hlinkClick xmlns:r="http://schemas.openxmlformats.org/officeDocument/2006/relationships" r:id="rId1"/>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001" t="11000" r="11333" b="11334"/>
        <a:stretch/>
      </xdr:blipFill>
      <xdr:spPr bwMode="auto">
        <a:xfrm>
          <a:off x="6153151" y="10106025"/>
          <a:ext cx="1405736" cy="1304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247650</xdr:colOff>
      <xdr:row>60</xdr:row>
      <xdr:rowOff>57150</xdr:rowOff>
    </xdr:from>
    <xdr:to>
      <xdr:col>8</xdr:col>
      <xdr:colOff>381000</xdr:colOff>
      <xdr:row>61</xdr:row>
      <xdr:rowOff>180975</xdr:rowOff>
    </xdr:to>
    <xdr:sp macro="" textlink="">
      <xdr:nvSpPr>
        <xdr:cNvPr id="8" name="Rectángulo redondeado 7">
          <a:hlinkClick xmlns:r="http://schemas.openxmlformats.org/officeDocument/2006/relationships" r:id="rId1"/>
        </xdr:cNvPr>
        <xdr:cNvSpPr/>
      </xdr:nvSpPr>
      <xdr:spPr>
        <a:xfrm>
          <a:off x="4819650" y="26803350"/>
          <a:ext cx="1657350" cy="3143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Desarrollo.</a:t>
          </a:r>
        </a:p>
      </xdr:txBody>
    </xdr:sp>
    <xdr:clientData/>
  </xdr:twoCellAnchor>
  <xdr:twoCellAnchor editAs="oneCell">
    <xdr:from>
      <xdr:col>10</xdr:col>
      <xdr:colOff>304800</xdr:colOff>
      <xdr:row>54</xdr:row>
      <xdr:rowOff>9525</xdr:rowOff>
    </xdr:from>
    <xdr:to>
      <xdr:col>11</xdr:col>
      <xdr:colOff>342900</xdr:colOff>
      <xdr:row>59</xdr:row>
      <xdr:rowOff>114301</xdr:rowOff>
    </xdr:to>
    <xdr:pic>
      <xdr:nvPicPr>
        <xdr:cNvPr id="9" name="Imagen 8" descr="Resultado de imagen para podium animado">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0" t="20637" r="4750" b="20624"/>
        <a:stretch/>
      </xdr:blipFill>
      <xdr:spPr bwMode="auto">
        <a:xfrm>
          <a:off x="9696450" y="10325100"/>
          <a:ext cx="1600200" cy="10572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428625</xdr:colOff>
      <xdr:row>60</xdr:row>
      <xdr:rowOff>133350</xdr:rowOff>
    </xdr:from>
    <xdr:to>
      <xdr:col>12</xdr:col>
      <xdr:colOff>0</xdr:colOff>
      <xdr:row>62</xdr:row>
      <xdr:rowOff>9525</xdr:rowOff>
    </xdr:to>
    <xdr:sp macro="" textlink="">
      <xdr:nvSpPr>
        <xdr:cNvPr id="10" name="Rectángulo redondeado 9">
          <a:hlinkClick xmlns:r="http://schemas.openxmlformats.org/officeDocument/2006/relationships" r:id="rId3"/>
        </xdr:cNvPr>
        <xdr:cNvSpPr/>
      </xdr:nvSpPr>
      <xdr:spPr>
        <a:xfrm>
          <a:off x="7286625" y="26879550"/>
          <a:ext cx="1857375"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Ranking.</a:t>
          </a:r>
        </a:p>
      </xdr:txBody>
    </xdr:sp>
    <xdr:clientData/>
  </xdr:twoCellAnchor>
  <xdr:twoCellAnchor editAs="oneCell">
    <xdr:from>
      <xdr:col>13</xdr:col>
      <xdr:colOff>238125</xdr:colOff>
      <xdr:row>50</xdr:row>
      <xdr:rowOff>152400</xdr:rowOff>
    </xdr:from>
    <xdr:to>
      <xdr:col>14</xdr:col>
      <xdr:colOff>1226279</xdr:colOff>
      <xdr:row>60</xdr:row>
      <xdr:rowOff>47400</xdr:rowOff>
    </xdr:to>
    <xdr:pic>
      <xdr:nvPicPr>
        <xdr:cNvPr id="11" name="Imagen 10" descr="Resultado de imagen para imagenes de conclusiones animadas">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2715875" y="9705975"/>
          <a:ext cx="1750154" cy="18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514350</xdr:colOff>
      <xdr:row>60</xdr:row>
      <xdr:rowOff>114300</xdr:rowOff>
    </xdr:from>
    <xdr:to>
      <xdr:col>15</xdr:col>
      <xdr:colOff>476250</xdr:colOff>
      <xdr:row>61</xdr:row>
      <xdr:rowOff>180975</xdr:rowOff>
    </xdr:to>
    <xdr:sp macro="" textlink="">
      <xdr:nvSpPr>
        <xdr:cNvPr id="12" name="Rectángulo redondeado 11">
          <a:hlinkClick xmlns:r="http://schemas.openxmlformats.org/officeDocument/2006/relationships" r:id="rId5"/>
        </xdr:cNvPr>
        <xdr:cNvSpPr/>
      </xdr:nvSpPr>
      <xdr:spPr>
        <a:xfrm>
          <a:off x="9658350" y="26860500"/>
          <a:ext cx="2247900"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Conclusiones.</a:t>
          </a:r>
        </a:p>
      </xdr:txBody>
    </xdr:sp>
    <xdr:clientData/>
  </xdr:twoCellAnchor>
  <xdr:twoCellAnchor>
    <xdr:from>
      <xdr:col>0</xdr:col>
      <xdr:colOff>514350</xdr:colOff>
      <xdr:row>60</xdr:row>
      <xdr:rowOff>66675</xdr:rowOff>
    </xdr:from>
    <xdr:to>
      <xdr:col>2</xdr:col>
      <xdr:colOff>647700</xdr:colOff>
      <xdr:row>61</xdr:row>
      <xdr:rowOff>180975</xdr:rowOff>
    </xdr:to>
    <xdr:sp macro="" textlink="">
      <xdr:nvSpPr>
        <xdr:cNvPr id="13" name="Rectángulo redondeado 12">
          <a:hlinkClick xmlns:r="http://schemas.openxmlformats.org/officeDocument/2006/relationships" r:id="rId7"/>
        </xdr:cNvPr>
        <xdr:cNvSpPr/>
      </xdr:nvSpPr>
      <xdr:spPr>
        <a:xfrm>
          <a:off x="514350" y="26812875"/>
          <a:ext cx="165735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638176</xdr:colOff>
      <xdr:row>52</xdr:row>
      <xdr:rowOff>76200</xdr:rowOff>
    </xdr:from>
    <xdr:to>
      <xdr:col>2</xdr:col>
      <xdr:colOff>514350</xdr:colOff>
      <xdr:row>59</xdr:row>
      <xdr:rowOff>95063</xdr:rowOff>
    </xdr:to>
    <xdr:pic>
      <xdr:nvPicPr>
        <xdr:cNvPr id="14" name="Imagen 13" descr="Resultado de imagen para docs animados">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6981" t="5000" r="18554" b="29000"/>
        <a:stretch/>
      </xdr:blipFill>
      <xdr:spPr bwMode="auto">
        <a:xfrm>
          <a:off x="638176" y="25298400"/>
          <a:ext cx="1400174" cy="1352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1476375</xdr:colOff>
      <xdr:row>60</xdr:row>
      <xdr:rowOff>104775</xdr:rowOff>
    </xdr:from>
    <xdr:to>
      <xdr:col>4</xdr:col>
      <xdr:colOff>666750</xdr:colOff>
      <xdr:row>62</xdr:row>
      <xdr:rowOff>19050</xdr:rowOff>
    </xdr:to>
    <xdr:sp macro="" textlink="">
      <xdr:nvSpPr>
        <xdr:cNvPr id="15" name="Rectángulo redondeado 14">
          <a:hlinkClick xmlns:r="http://schemas.openxmlformats.org/officeDocument/2006/relationships" r:id="rId9"/>
        </xdr:cNvPr>
        <xdr:cNvSpPr/>
      </xdr:nvSpPr>
      <xdr:spPr>
        <a:xfrm>
          <a:off x="3000375" y="11563350"/>
          <a:ext cx="16859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Antecedentes.</a:t>
          </a:r>
        </a:p>
      </xdr:txBody>
    </xdr:sp>
    <xdr:clientData/>
  </xdr:twoCellAnchor>
  <xdr:twoCellAnchor editAs="oneCell">
    <xdr:from>
      <xdr:col>2</xdr:col>
      <xdr:colOff>1343025</xdr:colOff>
      <xdr:row>52</xdr:row>
      <xdr:rowOff>95250</xdr:rowOff>
    </xdr:from>
    <xdr:to>
      <xdr:col>5</xdr:col>
      <xdr:colOff>19050</xdr:colOff>
      <xdr:row>59</xdr:row>
      <xdr:rowOff>95917</xdr:rowOff>
    </xdr:to>
    <xdr:pic>
      <xdr:nvPicPr>
        <xdr:cNvPr id="16" name="Imagen 15">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867025" y="10048875"/>
          <a:ext cx="1933575" cy="1334167"/>
        </a:xfrm>
        <a:prstGeom prst="rect">
          <a:avLst/>
        </a:prstGeom>
        <a:solidFill>
          <a:schemeClr val="accent1">
            <a:lumMod val="60000"/>
            <a:lumOff val="40000"/>
          </a:schemeClr>
        </a:solid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15</xdr:col>
      <xdr:colOff>9524</xdr:colOff>
      <xdr:row>1</xdr:row>
      <xdr:rowOff>9524</xdr:rowOff>
    </xdr:from>
    <xdr:to>
      <xdr:col>21</xdr:col>
      <xdr:colOff>9525</xdr:colOff>
      <xdr:row>10</xdr:row>
      <xdr:rowOff>180974</xdr:rowOff>
    </xdr:to>
    <xdr:graphicFrame macro="">
      <xdr:nvGraphicFramePr>
        <xdr:cNvPr id="4" name="Grá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11</xdr:row>
      <xdr:rowOff>0</xdr:rowOff>
    </xdr:from>
    <xdr:to>
      <xdr:col>21</xdr:col>
      <xdr:colOff>9526</xdr:colOff>
      <xdr:row>20</xdr:row>
      <xdr:rowOff>180975</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21</xdr:row>
      <xdr:rowOff>9525</xdr:rowOff>
    </xdr:from>
    <xdr:to>
      <xdr:col>21</xdr:col>
      <xdr:colOff>1</xdr:colOff>
      <xdr:row>31</xdr:row>
      <xdr:rowOff>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31</xdr:row>
      <xdr:rowOff>0</xdr:rowOff>
    </xdr:from>
    <xdr:to>
      <xdr:col>21</xdr:col>
      <xdr:colOff>1</xdr:colOff>
      <xdr:row>40</xdr:row>
      <xdr:rowOff>180975</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41</xdr:row>
      <xdr:rowOff>9525</xdr:rowOff>
    </xdr:from>
    <xdr:to>
      <xdr:col>21</xdr:col>
      <xdr:colOff>1</xdr:colOff>
      <xdr:row>51</xdr:row>
      <xdr:rowOff>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752475</xdr:colOff>
      <xdr:row>51</xdr:row>
      <xdr:rowOff>0</xdr:rowOff>
    </xdr:from>
    <xdr:to>
      <xdr:col>20</xdr:col>
      <xdr:colOff>752476</xdr:colOff>
      <xdr:row>60</xdr:row>
      <xdr:rowOff>180975</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752475</xdr:colOff>
      <xdr:row>61</xdr:row>
      <xdr:rowOff>9525</xdr:rowOff>
    </xdr:from>
    <xdr:to>
      <xdr:col>20</xdr:col>
      <xdr:colOff>752476</xdr:colOff>
      <xdr:row>71</xdr:row>
      <xdr:rowOff>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752475</xdr:colOff>
      <xdr:row>71</xdr:row>
      <xdr:rowOff>9525</xdr:rowOff>
    </xdr:from>
    <xdr:to>
      <xdr:col>20</xdr:col>
      <xdr:colOff>752476</xdr:colOff>
      <xdr:row>81</xdr:row>
      <xdr:rowOff>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742950</xdr:colOff>
      <xdr:row>81</xdr:row>
      <xdr:rowOff>9525</xdr:rowOff>
    </xdr:from>
    <xdr:to>
      <xdr:col>20</xdr:col>
      <xdr:colOff>742951</xdr:colOff>
      <xdr:row>91</xdr:row>
      <xdr:rowOff>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175684</xdr:colOff>
      <xdr:row>167</xdr:row>
      <xdr:rowOff>46567</xdr:rowOff>
    </xdr:from>
    <xdr:to>
      <xdr:col>7</xdr:col>
      <xdr:colOff>1137709</xdr:colOff>
      <xdr:row>168</xdr:row>
      <xdr:rowOff>170392</xdr:rowOff>
    </xdr:to>
    <xdr:sp macro="" textlink="">
      <xdr:nvSpPr>
        <xdr:cNvPr id="14" name="Rectángulo redondeado 13">
          <a:hlinkClick xmlns:r="http://schemas.openxmlformats.org/officeDocument/2006/relationships" r:id="rId10"/>
        </xdr:cNvPr>
        <xdr:cNvSpPr/>
      </xdr:nvSpPr>
      <xdr:spPr>
        <a:xfrm>
          <a:off x="5901267" y="32198734"/>
          <a:ext cx="1724025" cy="314325"/>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8</xdr:col>
      <xdr:colOff>0</xdr:colOff>
      <xdr:row>165</xdr:row>
      <xdr:rowOff>0</xdr:rowOff>
    </xdr:from>
    <xdr:to>
      <xdr:col>8</xdr:col>
      <xdr:colOff>304800</xdr:colOff>
      <xdr:row>166</xdr:row>
      <xdr:rowOff>114300</xdr:rowOff>
    </xdr:to>
    <xdr:sp macro="" textlink="">
      <xdr:nvSpPr>
        <xdr:cNvPr id="15" name="AutoShape 6" descr="Resultado de imagen para portapapeles animado"/>
        <xdr:cNvSpPr>
          <a:spLocks noChangeAspect="1" noChangeArrowheads="1"/>
        </xdr:cNvSpPr>
      </xdr:nvSpPr>
      <xdr:spPr bwMode="auto">
        <a:xfrm>
          <a:off x="6096000" y="2636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165</xdr:row>
      <xdr:rowOff>0</xdr:rowOff>
    </xdr:from>
    <xdr:to>
      <xdr:col>8</xdr:col>
      <xdr:colOff>304800</xdr:colOff>
      <xdr:row>166</xdr:row>
      <xdr:rowOff>114300</xdr:rowOff>
    </xdr:to>
    <xdr:sp macro="" textlink="">
      <xdr:nvSpPr>
        <xdr:cNvPr id="16" name="AutoShape 7" descr="Resultado de imagen para portapapeles animado"/>
        <xdr:cNvSpPr>
          <a:spLocks noChangeAspect="1" noChangeArrowheads="1"/>
        </xdr:cNvSpPr>
      </xdr:nvSpPr>
      <xdr:spPr bwMode="auto">
        <a:xfrm>
          <a:off x="6096000" y="2636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165</xdr:row>
      <xdr:rowOff>0</xdr:rowOff>
    </xdr:from>
    <xdr:to>
      <xdr:col>8</xdr:col>
      <xdr:colOff>304800</xdr:colOff>
      <xdr:row>166</xdr:row>
      <xdr:rowOff>114300</xdr:rowOff>
    </xdr:to>
    <xdr:sp macro="" textlink="">
      <xdr:nvSpPr>
        <xdr:cNvPr id="17" name="AutoShape 8" descr="Resultado de imagen para portapapeles animado"/>
        <xdr:cNvSpPr>
          <a:spLocks noChangeAspect="1" noChangeArrowheads="1"/>
        </xdr:cNvSpPr>
      </xdr:nvSpPr>
      <xdr:spPr bwMode="auto">
        <a:xfrm>
          <a:off x="6096000" y="2636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491066</xdr:colOff>
      <xdr:row>159</xdr:row>
      <xdr:rowOff>25400</xdr:rowOff>
    </xdr:from>
    <xdr:to>
      <xdr:col>7</xdr:col>
      <xdr:colOff>853017</xdr:colOff>
      <xdr:row>166</xdr:row>
      <xdr:rowOff>149000</xdr:rowOff>
    </xdr:to>
    <xdr:pic>
      <xdr:nvPicPr>
        <xdr:cNvPr id="18" name="Imagen 17" descr="Resultado de imagen para portapapeles animado">
          <a:hlinkClick xmlns:r="http://schemas.openxmlformats.org/officeDocument/2006/relationships" r:id="rId10"/>
        </xdr:cNvPr>
        <xdr:cNvPicPr>
          <a:picLocks noChangeAspect="1" noChangeArrowheads="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18521" r="19038"/>
        <a:stretch/>
      </xdr:blipFill>
      <xdr:spPr bwMode="auto">
        <a:xfrm>
          <a:off x="6216649" y="30653567"/>
          <a:ext cx="1123951" cy="1457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250825</xdr:colOff>
      <xdr:row>160</xdr:row>
      <xdr:rowOff>40216</xdr:rowOff>
    </xdr:from>
    <xdr:to>
      <xdr:col>10</xdr:col>
      <xdr:colOff>327025</xdr:colOff>
      <xdr:row>165</xdr:row>
      <xdr:rowOff>144992</xdr:rowOff>
    </xdr:to>
    <xdr:pic>
      <xdr:nvPicPr>
        <xdr:cNvPr id="21" name="Imagen 20" descr="Resultado de imagen para podium animado">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6350" t="20637" r="4750" b="20624"/>
        <a:stretch/>
      </xdr:blipFill>
      <xdr:spPr bwMode="auto">
        <a:xfrm>
          <a:off x="8569325" y="30858883"/>
          <a:ext cx="1600200" cy="10572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37042</xdr:colOff>
      <xdr:row>167</xdr:row>
      <xdr:rowOff>48683</xdr:rowOff>
    </xdr:from>
    <xdr:to>
      <xdr:col>10</xdr:col>
      <xdr:colOff>370417</xdr:colOff>
      <xdr:row>168</xdr:row>
      <xdr:rowOff>115358</xdr:rowOff>
    </xdr:to>
    <xdr:sp macro="" textlink="">
      <xdr:nvSpPr>
        <xdr:cNvPr id="22" name="Rectángulo redondeado 21">
          <a:hlinkClick xmlns:r="http://schemas.openxmlformats.org/officeDocument/2006/relationships" r:id="rId12"/>
        </xdr:cNvPr>
        <xdr:cNvSpPr/>
      </xdr:nvSpPr>
      <xdr:spPr>
        <a:xfrm>
          <a:off x="8355542" y="32200850"/>
          <a:ext cx="1857375"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Ranking.</a:t>
          </a:r>
        </a:p>
      </xdr:txBody>
    </xdr:sp>
    <xdr:clientData/>
  </xdr:twoCellAnchor>
  <xdr:twoCellAnchor editAs="oneCell">
    <xdr:from>
      <xdr:col>11</xdr:col>
      <xdr:colOff>233892</xdr:colOff>
      <xdr:row>157</xdr:row>
      <xdr:rowOff>95250</xdr:rowOff>
    </xdr:from>
    <xdr:to>
      <xdr:col>12</xdr:col>
      <xdr:colOff>1223104</xdr:colOff>
      <xdr:row>166</xdr:row>
      <xdr:rowOff>180750</xdr:rowOff>
    </xdr:to>
    <xdr:pic>
      <xdr:nvPicPr>
        <xdr:cNvPr id="23" name="Imagen 22" descr="Resultado de imagen para imagenes de conclusiones animadas">
          <a:hlinkClick xmlns:r="http://schemas.openxmlformats.org/officeDocument/2006/relationships" r:id="rId14"/>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838392" y="30342417"/>
          <a:ext cx="1751212" cy="18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546101</xdr:colOff>
      <xdr:row>167</xdr:row>
      <xdr:rowOff>8467</xdr:rowOff>
    </xdr:from>
    <xdr:to>
      <xdr:col>12</xdr:col>
      <xdr:colOff>1555751</xdr:colOff>
      <xdr:row>168</xdr:row>
      <xdr:rowOff>75142</xdr:rowOff>
    </xdr:to>
    <xdr:sp macro="" textlink="">
      <xdr:nvSpPr>
        <xdr:cNvPr id="24" name="Rectángulo redondeado 23">
          <a:hlinkClick xmlns:r="http://schemas.openxmlformats.org/officeDocument/2006/relationships" r:id="rId16"/>
        </xdr:cNvPr>
        <xdr:cNvSpPr/>
      </xdr:nvSpPr>
      <xdr:spPr>
        <a:xfrm>
          <a:off x="10388601" y="32160634"/>
          <a:ext cx="2533650"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Conclusiones.</a:t>
          </a:r>
        </a:p>
      </xdr:txBody>
    </xdr:sp>
    <xdr:clientData/>
  </xdr:twoCellAnchor>
  <xdr:twoCellAnchor>
    <xdr:from>
      <xdr:col>0</xdr:col>
      <xdr:colOff>514350</xdr:colOff>
      <xdr:row>167</xdr:row>
      <xdr:rowOff>66675</xdr:rowOff>
    </xdr:from>
    <xdr:to>
      <xdr:col>2</xdr:col>
      <xdr:colOff>647700</xdr:colOff>
      <xdr:row>168</xdr:row>
      <xdr:rowOff>180975</xdr:rowOff>
    </xdr:to>
    <xdr:sp macro="" textlink="">
      <xdr:nvSpPr>
        <xdr:cNvPr id="25" name="Rectángulo redondeado 24">
          <a:hlinkClick xmlns:r="http://schemas.openxmlformats.org/officeDocument/2006/relationships" r:id="rId17"/>
        </xdr:cNvPr>
        <xdr:cNvSpPr/>
      </xdr:nvSpPr>
      <xdr:spPr>
        <a:xfrm>
          <a:off x="514350" y="26812875"/>
          <a:ext cx="165735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638176</xdr:colOff>
      <xdr:row>159</xdr:row>
      <xdr:rowOff>76200</xdr:rowOff>
    </xdr:from>
    <xdr:to>
      <xdr:col>2</xdr:col>
      <xdr:colOff>514350</xdr:colOff>
      <xdr:row>166</xdr:row>
      <xdr:rowOff>95063</xdr:rowOff>
    </xdr:to>
    <xdr:pic>
      <xdr:nvPicPr>
        <xdr:cNvPr id="26" name="Imagen 25" descr="Resultado de imagen para docs animados">
          <a:hlinkClick xmlns:r="http://schemas.openxmlformats.org/officeDocument/2006/relationships" r:id="rId17"/>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16981" t="5000" r="18554" b="29000"/>
        <a:stretch/>
      </xdr:blipFill>
      <xdr:spPr bwMode="auto">
        <a:xfrm>
          <a:off x="638176" y="25298400"/>
          <a:ext cx="1400174" cy="1352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1139825</xdr:colOff>
      <xdr:row>167</xdr:row>
      <xdr:rowOff>65617</xdr:rowOff>
    </xdr:from>
    <xdr:to>
      <xdr:col>5</xdr:col>
      <xdr:colOff>539750</xdr:colOff>
      <xdr:row>168</xdr:row>
      <xdr:rowOff>170392</xdr:rowOff>
    </xdr:to>
    <xdr:sp macro="" textlink="">
      <xdr:nvSpPr>
        <xdr:cNvPr id="29" name="Rectángulo redondeado 28">
          <a:hlinkClick xmlns:r="http://schemas.openxmlformats.org/officeDocument/2006/relationships" r:id="rId19"/>
        </xdr:cNvPr>
        <xdr:cNvSpPr/>
      </xdr:nvSpPr>
      <xdr:spPr>
        <a:xfrm>
          <a:off x="2663825" y="32217784"/>
          <a:ext cx="2839508"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Antecedentes.</a:t>
          </a:r>
        </a:p>
      </xdr:txBody>
    </xdr:sp>
    <xdr:clientData/>
  </xdr:twoCellAnchor>
  <xdr:twoCellAnchor editAs="oneCell">
    <xdr:from>
      <xdr:col>2</xdr:col>
      <xdr:colOff>1518708</xdr:colOff>
      <xdr:row>159</xdr:row>
      <xdr:rowOff>104775</xdr:rowOff>
    </xdr:from>
    <xdr:to>
      <xdr:col>5</xdr:col>
      <xdr:colOff>13758</xdr:colOff>
      <xdr:row>166</xdr:row>
      <xdr:rowOff>105442</xdr:rowOff>
    </xdr:to>
    <xdr:pic>
      <xdr:nvPicPr>
        <xdr:cNvPr id="30" name="Imagen 29">
          <a:hlinkClick xmlns:r="http://schemas.openxmlformats.org/officeDocument/2006/relationships" r:id="rId19"/>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3042708" y="30732942"/>
          <a:ext cx="1934633" cy="1334167"/>
        </a:xfrm>
        <a:prstGeom prst="rect">
          <a:avLst/>
        </a:prstGeom>
        <a:solidFill>
          <a:schemeClr val="accent1">
            <a:lumMod val="60000"/>
            <a:lumOff val="40000"/>
          </a:schemeClr>
        </a:solid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175684</xdr:colOff>
      <xdr:row>23</xdr:row>
      <xdr:rowOff>46567</xdr:rowOff>
    </xdr:from>
    <xdr:to>
      <xdr:col>7</xdr:col>
      <xdr:colOff>1137709</xdr:colOff>
      <xdr:row>24</xdr:row>
      <xdr:rowOff>170392</xdr:rowOff>
    </xdr:to>
    <xdr:sp macro="" textlink="">
      <xdr:nvSpPr>
        <xdr:cNvPr id="2" name="Rectángulo redondeado 1">
          <a:hlinkClick xmlns:r="http://schemas.openxmlformats.org/officeDocument/2006/relationships" r:id="rId1"/>
        </xdr:cNvPr>
        <xdr:cNvSpPr/>
      </xdr:nvSpPr>
      <xdr:spPr>
        <a:xfrm>
          <a:off x="5900209" y="32202967"/>
          <a:ext cx="1724025" cy="314325"/>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6</xdr:col>
      <xdr:colOff>176741</xdr:colOff>
      <xdr:row>15</xdr:row>
      <xdr:rowOff>6350</xdr:rowOff>
    </xdr:from>
    <xdr:to>
      <xdr:col>7</xdr:col>
      <xdr:colOff>538692</xdr:colOff>
      <xdr:row>22</xdr:row>
      <xdr:rowOff>129950</xdr:rowOff>
    </xdr:to>
    <xdr:pic>
      <xdr:nvPicPr>
        <xdr:cNvPr id="3" name="Imagen 2" descr="Resultado de imagen para portapapeles animado">
          <a:hlinkClick xmlns:r="http://schemas.openxmlformats.org/officeDocument/2006/relationships" r:id="rId1"/>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8521" r="19038"/>
        <a:stretch/>
      </xdr:blipFill>
      <xdr:spPr bwMode="auto">
        <a:xfrm>
          <a:off x="4748741" y="2940050"/>
          <a:ext cx="1123951" cy="1457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514350</xdr:colOff>
      <xdr:row>23</xdr:row>
      <xdr:rowOff>66675</xdr:rowOff>
    </xdr:from>
    <xdr:to>
      <xdr:col>2</xdr:col>
      <xdr:colOff>647700</xdr:colOff>
      <xdr:row>24</xdr:row>
      <xdr:rowOff>180975</xdr:rowOff>
    </xdr:to>
    <xdr:sp macro="" textlink="">
      <xdr:nvSpPr>
        <xdr:cNvPr id="4" name="Rectángulo redondeado 3">
          <a:hlinkClick xmlns:r="http://schemas.openxmlformats.org/officeDocument/2006/relationships" r:id="rId3"/>
        </xdr:cNvPr>
        <xdr:cNvSpPr/>
      </xdr:nvSpPr>
      <xdr:spPr>
        <a:xfrm>
          <a:off x="514350" y="32223075"/>
          <a:ext cx="165735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638176</xdr:colOff>
      <xdr:row>15</xdr:row>
      <xdr:rowOff>76200</xdr:rowOff>
    </xdr:from>
    <xdr:to>
      <xdr:col>2</xdr:col>
      <xdr:colOff>514350</xdr:colOff>
      <xdr:row>22</xdr:row>
      <xdr:rowOff>95063</xdr:rowOff>
    </xdr:to>
    <xdr:pic>
      <xdr:nvPicPr>
        <xdr:cNvPr id="5" name="Imagen 4" descr="Resultado de imagen para docs animados">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6981" t="5000" r="18554" b="29000"/>
        <a:stretch/>
      </xdr:blipFill>
      <xdr:spPr bwMode="auto">
        <a:xfrm>
          <a:off x="638176" y="30708600"/>
          <a:ext cx="1400174" cy="1352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1139825</xdr:colOff>
      <xdr:row>23</xdr:row>
      <xdr:rowOff>65617</xdr:rowOff>
    </xdr:from>
    <xdr:to>
      <xdr:col>5</xdr:col>
      <xdr:colOff>539750</xdr:colOff>
      <xdr:row>24</xdr:row>
      <xdr:rowOff>170392</xdr:rowOff>
    </xdr:to>
    <xdr:sp macro="" textlink="">
      <xdr:nvSpPr>
        <xdr:cNvPr id="6" name="Rectángulo redondeado 5">
          <a:hlinkClick xmlns:r="http://schemas.openxmlformats.org/officeDocument/2006/relationships" r:id="rId5"/>
        </xdr:cNvPr>
        <xdr:cNvSpPr/>
      </xdr:nvSpPr>
      <xdr:spPr>
        <a:xfrm>
          <a:off x="2663825" y="32222017"/>
          <a:ext cx="2838450"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Antecedentes.</a:t>
          </a:r>
        </a:p>
      </xdr:txBody>
    </xdr:sp>
    <xdr:clientData/>
  </xdr:twoCellAnchor>
  <xdr:twoCellAnchor editAs="oneCell">
    <xdr:from>
      <xdr:col>2</xdr:col>
      <xdr:colOff>1518708</xdr:colOff>
      <xdr:row>15</xdr:row>
      <xdr:rowOff>104775</xdr:rowOff>
    </xdr:from>
    <xdr:to>
      <xdr:col>5</xdr:col>
      <xdr:colOff>413808</xdr:colOff>
      <xdr:row>22</xdr:row>
      <xdr:rowOff>105442</xdr:rowOff>
    </xdr:to>
    <xdr:pic>
      <xdr:nvPicPr>
        <xdr:cNvPr id="7" name="Imagen 6">
          <a:hlinkClick xmlns:r="http://schemas.openxmlformats.org/officeDocument/2006/relationships" r:id="rId5"/>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42708" y="30737175"/>
          <a:ext cx="1933575" cy="1334167"/>
        </a:xfrm>
        <a:prstGeom prst="rect">
          <a:avLst/>
        </a:prstGeom>
        <a:solidFill>
          <a:schemeClr val="accent1">
            <a:lumMod val="60000"/>
            <a:lumOff val="40000"/>
          </a:schemeClr>
        </a:solidFill>
      </xdr:spPr>
    </xdr:pic>
    <xdr:clientData/>
  </xdr:twoCellAnchor>
  <xdr:twoCellAnchor editAs="oneCell">
    <xdr:from>
      <xdr:col>10</xdr:col>
      <xdr:colOff>0</xdr:colOff>
      <xdr:row>24</xdr:row>
      <xdr:rowOff>0</xdr:rowOff>
    </xdr:from>
    <xdr:to>
      <xdr:col>10</xdr:col>
      <xdr:colOff>304800</xdr:colOff>
      <xdr:row>25</xdr:row>
      <xdr:rowOff>114300</xdr:rowOff>
    </xdr:to>
    <xdr:sp macro="" textlink="">
      <xdr:nvSpPr>
        <xdr:cNvPr id="8" name="AutoShape 6" descr="Resultado de imagen para portapapeles animado"/>
        <xdr:cNvSpPr>
          <a:spLocks noChangeAspect="1" noChangeArrowheads="1"/>
        </xdr:cNvSpPr>
      </xdr:nvSpPr>
      <xdr:spPr bwMode="auto">
        <a:xfrm>
          <a:off x="7867650" y="1107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0</xdr:rowOff>
    </xdr:from>
    <xdr:to>
      <xdr:col>10</xdr:col>
      <xdr:colOff>304800</xdr:colOff>
      <xdr:row>25</xdr:row>
      <xdr:rowOff>114300</xdr:rowOff>
    </xdr:to>
    <xdr:sp macro="" textlink="">
      <xdr:nvSpPr>
        <xdr:cNvPr id="9" name="AutoShape 7" descr="Resultado de imagen para portapapeles animado"/>
        <xdr:cNvSpPr>
          <a:spLocks noChangeAspect="1" noChangeArrowheads="1"/>
        </xdr:cNvSpPr>
      </xdr:nvSpPr>
      <xdr:spPr bwMode="auto">
        <a:xfrm>
          <a:off x="7867650" y="1107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0</xdr:rowOff>
    </xdr:from>
    <xdr:to>
      <xdr:col>10</xdr:col>
      <xdr:colOff>304800</xdr:colOff>
      <xdr:row>25</xdr:row>
      <xdr:rowOff>114300</xdr:rowOff>
    </xdr:to>
    <xdr:sp macro="" textlink="">
      <xdr:nvSpPr>
        <xdr:cNvPr id="10" name="AutoShape 8" descr="Resultado de imagen para portapapeles animado"/>
        <xdr:cNvSpPr>
          <a:spLocks noChangeAspect="1" noChangeArrowheads="1"/>
        </xdr:cNvSpPr>
      </xdr:nvSpPr>
      <xdr:spPr bwMode="auto">
        <a:xfrm>
          <a:off x="7867650" y="1107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571501</xdr:colOff>
      <xdr:row>15</xdr:row>
      <xdr:rowOff>76200</xdr:rowOff>
    </xdr:from>
    <xdr:to>
      <xdr:col>10</xdr:col>
      <xdr:colOff>453237</xdr:colOff>
      <xdr:row>22</xdr:row>
      <xdr:rowOff>47626</xdr:rowOff>
    </xdr:to>
    <xdr:pic>
      <xdr:nvPicPr>
        <xdr:cNvPr id="11" name="Imagen 10" descr="Resultado de imagen para martillo y serrucho animados">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5001" t="11000" r="11333" b="11334"/>
        <a:stretch/>
      </xdr:blipFill>
      <xdr:spPr bwMode="auto">
        <a:xfrm>
          <a:off x="6667501" y="3009900"/>
          <a:ext cx="1405736" cy="1304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514350</xdr:colOff>
      <xdr:row>23</xdr:row>
      <xdr:rowOff>9525</xdr:rowOff>
    </xdr:from>
    <xdr:to>
      <xdr:col>10</xdr:col>
      <xdr:colOff>647700</xdr:colOff>
      <xdr:row>24</xdr:row>
      <xdr:rowOff>133350</xdr:rowOff>
    </xdr:to>
    <xdr:sp macro="" textlink="">
      <xdr:nvSpPr>
        <xdr:cNvPr id="12" name="Rectángulo redondeado 11">
          <a:hlinkClick xmlns:r="http://schemas.openxmlformats.org/officeDocument/2006/relationships" r:id="rId7"/>
        </xdr:cNvPr>
        <xdr:cNvSpPr/>
      </xdr:nvSpPr>
      <xdr:spPr>
        <a:xfrm>
          <a:off x="6610350" y="4467225"/>
          <a:ext cx="1657350" cy="3143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Desarrollo.</a:t>
          </a:r>
        </a:p>
      </xdr:txBody>
    </xdr:sp>
    <xdr:clientData/>
  </xdr:twoCellAnchor>
  <xdr:twoCellAnchor editAs="oneCell">
    <xdr:from>
      <xdr:col>11</xdr:col>
      <xdr:colOff>443442</xdr:colOff>
      <xdr:row>13</xdr:row>
      <xdr:rowOff>85725</xdr:rowOff>
    </xdr:from>
    <xdr:to>
      <xdr:col>13</xdr:col>
      <xdr:colOff>670654</xdr:colOff>
      <xdr:row>22</xdr:row>
      <xdr:rowOff>171225</xdr:rowOff>
    </xdr:to>
    <xdr:pic>
      <xdr:nvPicPr>
        <xdr:cNvPr id="13" name="Imagen 12" descr="Resultado de imagen para imagenes de conclusiones animadas">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825442" y="2638425"/>
          <a:ext cx="1751212" cy="18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488951</xdr:colOff>
      <xdr:row>23</xdr:row>
      <xdr:rowOff>113242</xdr:rowOff>
    </xdr:from>
    <xdr:to>
      <xdr:col>13</xdr:col>
      <xdr:colOff>708026</xdr:colOff>
      <xdr:row>24</xdr:row>
      <xdr:rowOff>179917</xdr:rowOff>
    </xdr:to>
    <xdr:sp macro="" textlink="">
      <xdr:nvSpPr>
        <xdr:cNvPr id="14" name="Rectángulo redondeado 13"/>
        <xdr:cNvSpPr/>
      </xdr:nvSpPr>
      <xdr:spPr>
        <a:xfrm>
          <a:off x="8870951" y="4570942"/>
          <a:ext cx="1743075"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Conclusiones.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175684</xdr:colOff>
      <xdr:row>22</xdr:row>
      <xdr:rowOff>46567</xdr:rowOff>
    </xdr:from>
    <xdr:to>
      <xdr:col>7</xdr:col>
      <xdr:colOff>1137709</xdr:colOff>
      <xdr:row>23</xdr:row>
      <xdr:rowOff>170392</xdr:rowOff>
    </xdr:to>
    <xdr:sp macro="" textlink="">
      <xdr:nvSpPr>
        <xdr:cNvPr id="2" name="Rectángulo redondeado 1">
          <a:hlinkClick xmlns:r="http://schemas.openxmlformats.org/officeDocument/2006/relationships" r:id="rId1"/>
        </xdr:cNvPr>
        <xdr:cNvSpPr/>
      </xdr:nvSpPr>
      <xdr:spPr>
        <a:xfrm>
          <a:off x="4747684" y="4504267"/>
          <a:ext cx="1352550" cy="314325"/>
        </a:xfrm>
        <a:prstGeom prst="roundRect">
          <a:avLst/>
        </a:prstGeom>
        <a:solidFill>
          <a:schemeClr val="bg1"/>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6</xdr:col>
      <xdr:colOff>176741</xdr:colOff>
      <xdr:row>14</xdr:row>
      <xdr:rowOff>6350</xdr:rowOff>
    </xdr:from>
    <xdr:to>
      <xdr:col>7</xdr:col>
      <xdr:colOff>538692</xdr:colOff>
      <xdr:row>21</xdr:row>
      <xdr:rowOff>129950</xdr:rowOff>
    </xdr:to>
    <xdr:pic>
      <xdr:nvPicPr>
        <xdr:cNvPr id="3" name="Imagen 2" descr="Resultado de imagen para portapapeles animado">
          <a:hlinkClick xmlns:r="http://schemas.openxmlformats.org/officeDocument/2006/relationships" r:id="rId1"/>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8521" r="19038"/>
        <a:stretch/>
      </xdr:blipFill>
      <xdr:spPr bwMode="auto">
        <a:xfrm>
          <a:off x="4748741" y="2940050"/>
          <a:ext cx="1123951" cy="1457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514350</xdr:colOff>
      <xdr:row>22</xdr:row>
      <xdr:rowOff>66675</xdr:rowOff>
    </xdr:from>
    <xdr:to>
      <xdr:col>2</xdr:col>
      <xdr:colOff>647700</xdr:colOff>
      <xdr:row>23</xdr:row>
      <xdr:rowOff>180975</xdr:rowOff>
    </xdr:to>
    <xdr:sp macro="" textlink="">
      <xdr:nvSpPr>
        <xdr:cNvPr id="4" name="Rectángulo redondeado 3">
          <a:hlinkClick xmlns:r="http://schemas.openxmlformats.org/officeDocument/2006/relationships" r:id="rId3"/>
        </xdr:cNvPr>
        <xdr:cNvSpPr/>
      </xdr:nvSpPr>
      <xdr:spPr>
        <a:xfrm>
          <a:off x="514350" y="4524375"/>
          <a:ext cx="165735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638176</xdr:colOff>
      <xdr:row>14</xdr:row>
      <xdr:rowOff>76200</xdr:rowOff>
    </xdr:from>
    <xdr:to>
      <xdr:col>2</xdr:col>
      <xdr:colOff>514350</xdr:colOff>
      <xdr:row>21</xdr:row>
      <xdr:rowOff>95063</xdr:rowOff>
    </xdr:to>
    <xdr:pic>
      <xdr:nvPicPr>
        <xdr:cNvPr id="5" name="Imagen 4" descr="Resultado de imagen para docs animados">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6981" t="5000" r="18554" b="29000"/>
        <a:stretch/>
      </xdr:blipFill>
      <xdr:spPr bwMode="auto">
        <a:xfrm>
          <a:off x="638176" y="3009900"/>
          <a:ext cx="1400174" cy="1352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1139825</xdr:colOff>
      <xdr:row>22</xdr:row>
      <xdr:rowOff>65617</xdr:rowOff>
    </xdr:from>
    <xdr:to>
      <xdr:col>5</xdr:col>
      <xdr:colOff>539750</xdr:colOff>
      <xdr:row>23</xdr:row>
      <xdr:rowOff>170392</xdr:rowOff>
    </xdr:to>
    <xdr:sp macro="" textlink="">
      <xdr:nvSpPr>
        <xdr:cNvPr id="6" name="Rectángulo redondeado 5">
          <a:hlinkClick xmlns:r="http://schemas.openxmlformats.org/officeDocument/2006/relationships" r:id="rId5"/>
        </xdr:cNvPr>
        <xdr:cNvSpPr/>
      </xdr:nvSpPr>
      <xdr:spPr>
        <a:xfrm>
          <a:off x="2282825" y="4523317"/>
          <a:ext cx="20669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Antecedentes.</a:t>
          </a:r>
        </a:p>
      </xdr:txBody>
    </xdr:sp>
    <xdr:clientData/>
  </xdr:twoCellAnchor>
  <xdr:twoCellAnchor editAs="oneCell">
    <xdr:from>
      <xdr:col>2</xdr:col>
      <xdr:colOff>1518708</xdr:colOff>
      <xdr:row>14</xdr:row>
      <xdr:rowOff>104775</xdr:rowOff>
    </xdr:from>
    <xdr:to>
      <xdr:col>5</xdr:col>
      <xdr:colOff>413808</xdr:colOff>
      <xdr:row>21</xdr:row>
      <xdr:rowOff>105442</xdr:rowOff>
    </xdr:to>
    <xdr:pic>
      <xdr:nvPicPr>
        <xdr:cNvPr id="7" name="Imagen 6">
          <a:hlinkClick xmlns:r="http://schemas.openxmlformats.org/officeDocument/2006/relationships" r:id="rId5"/>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290233" y="3038475"/>
          <a:ext cx="1933575" cy="1334167"/>
        </a:xfrm>
        <a:prstGeom prst="rect">
          <a:avLst/>
        </a:prstGeom>
        <a:solidFill>
          <a:schemeClr val="accent1">
            <a:lumMod val="60000"/>
            <a:lumOff val="40000"/>
          </a:schemeClr>
        </a:solidFill>
      </xdr:spPr>
    </xdr:pic>
    <xdr:clientData/>
  </xdr:twoCellAnchor>
  <xdr:twoCellAnchor editAs="oneCell">
    <xdr:from>
      <xdr:col>10</xdr:col>
      <xdr:colOff>0</xdr:colOff>
      <xdr:row>23</xdr:row>
      <xdr:rowOff>0</xdr:rowOff>
    </xdr:from>
    <xdr:to>
      <xdr:col>10</xdr:col>
      <xdr:colOff>304800</xdr:colOff>
      <xdr:row>24</xdr:row>
      <xdr:rowOff>114300</xdr:rowOff>
    </xdr:to>
    <xdr:sp macro="" textlink="">
      <xdr:nvSpPr>
        <xdr:cNvPr id="8" name="AutoShape 6" descr="Resultado de imagen para portapapeles animado"/>
        <xdr:cNvSpPr>
          <a:spLocks noChangeAspect="1" noChangeArrowheads="1"/>
        </xdr:cNvSpPr>
      </xdr:nvSpPr>
      <xdr:spPr bwMode="auto">
        <a:xfrm>
          <a:off x="7620000" y="464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23</xdr:row>
      <xdr:rowOff>0</xdr:rowOff>
    </xdr:from>
    <xdr:to>
      <xdr:col>10</xdr:col>
      <xdr:colOff>304800</xdr:colOff>
      <xdr:row>24</xdr:row>
      <xdr:rowOff>114300</xdr:rowOff>
    </xdr:to>
    <xdr:sp macro="" textlink="">
      <xdr:nvSpPr>
        <xdr:cNvPr id="9" name="AutoShape 7" descr="Resultado de imagen para portapapeles animado"/>
        <xdr:cNvSpPr>
          <a:spLocks noChangeAspect="1" noChangeArrowheads="1"/>
        </xdr:cNvSpPr>
      </xdr:nvSpPr>
      <xdr:spPr bwMode="auto">
        <a:xfrm>
          <a:off x="7620000" y="464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23</xdr:row>
      <xdr:rowOff>0</xdr:rowOff>
    </xdr:from>
    <xdr:to>
      <xdr:col>10</xdr:col>
      <xdr:colOff>304800</xdr:colOff>
      <xdr:row>24</xdr:row>
      <xdr:rowOff>114300</xdr:rowOff>
    </xdr:to>
    <xdr:sp macro="" textlink="">
      <xdr:nvSpPr>
        <xdr:cNvPr id="10" name="AutoShape 8" descr="Resultado de imagen para portapapeles animado"/>
        <xdr:cNvSpPr>
          <a:spLocks noChangeAspect="1" noChangeArrowheads="1"/>
        </xdr:cNvSpPr>
      </xdr:nvSpPr>
      <xdr:spPr bwMode="auto">
        <a:xfrm>
          <a:off x="7620000" y="464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571501</xdr:colOff>
      <xdr:row>14</xdr:row>
      <xdr:rowOff>76200</xdr:rowOff>
    </xdr:from>
    <xdr:to>
      <xdr:col>10</xdr:col>
      <xdr:colOff>453237</xdr:colOff>
      <xdr:row>21</xdr:row>
      <xdr:rowOff>47626</xdr:rowOff>
    </xdr:to>
    <xdr:pic>
      <xdr:nvPicPr>
        <xdr:cNvPr id="11" name="Imagen 10" descr="Resultado de imagen para martillo y serrucho animados">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5001" t="11000" r="11333" b="11334"/>
        <a:stretch/>
      </xdr:blipFill>
      <xdr:spPr bwMode="auto">
        <a:xfrm>
          <a:off x="6667501" y="3009900"/>
          <a:ext cx="1405736" cy="1304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514350</xdr:colOff>
      <xdr:row>22</xdr:row>
      <xdr:rowOff>9525</xdr:rowOff>
    </xdr:from>
    <xdr:to>
      <xdr:col>10</xdr:col>
      <xdr:colOff>647700</xdr:colOff>
      <xdr:row>23</xdr:row>
      <xdr:rowOff>133350</xdr:rowOff>
    </xdr:to>
    <xdr:sp macro="" textlink="">
      <xdr:nvSpPr>
        <xdr:cNvPr id="12" name="Rectángulo redondeado 11">
          <a:hlinkClick xmlns:r="http://schemas.openxmlformats.org/officeDocument/2006/relationships" r:id="rId7"/>
        </xdr:cNvPr>
        <xdr:cNvSpPr/>
      </xdr:nvSpPr>
      <xdr:spPr>
        <a:xfrm>
          <a:off x="6610350" y="4467225"/>
          <a:ext cx="1657350" cy="31432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Desarrollo.</a:t>
          </a:r>
        </a:p>
      </xdr:txBody>
    </xdr:sp>
    <xdr:clientData/>
  </xdr:twoCellAnchor>
  <xdr:twoCellAnchor editAs="oneCell">
    <xdr:from>
      <xdr:col>11</xdr:col>
      <xdr:colOff>0</xdr:colOff>
      <xdr:row>28</xdr:row>
      <xdr:rowOff>0</xdr:rowOff>
    </xdr:from>
    <xdr:to>
      <xdr:col>11</xdr:col>
      <xdr:colOff>304800</xdr:colOff>
      <xdr:row>29</xdr:row>
      <xdr:rowOff>114300</xdr:rowOff>
    </xdr:to>
    <xdr:sp macro="" textlink="">
      <xdr:nvSpPr>
        <xdr:cNvPr id="13" name="AutoShape 6" descr="Resultado de imagen para portapapeles animado"/>
        <xdr:cNvSpPr>
          <a:spLocks noChangeAspect="1" noChangeArrowheads="1"/>
        </xdr:cNvSpPr>
      </xdr:nvSpPr>
      <xdr:spPr bwMode="auto">
        <a:xfrm>
          <a:off x="8315325" y="3177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28</xdr:row>
      <xdr:rowOff>0</xdr:rowOff>
    </xdr:from>
    <xdr:to>
      <xdr:col>11</xdr:col>
      <xdr:colOff>304800</xdr:colOff>
      <xdr:row>29</xdr:row>
      <xdr:rowOff>114300</xdr:rowOff>
    </xdr:to>
    <xdr:sp macro="" textlink="">
      <xdr:nvSpPr>
        <xdr:cNvPr id="14" name="AutoShape 7" descr="Resultado de imagen para portapapeles animado"/>
        <xdr:cNvSpPr>
          <a:spLocks noChangeAspect="1" noChangeArrowheads="1"/>
        </xdr:cNvSpPr>
      </xdr:nvSpPr>
      <xdr:spPr bwMode="auto">
        <a:xfrm>
          <a:off x="8315325" y="3177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28</xdr:row>
      <xdr:rowOff>0</xdr:rowOff>
    </xdr:from>
    <xdr:to>
      <xdr:col>11</xdr:col>
      <xdr:colOff>304800</xdr:colOff>
      <xdr:row>29</xdr:row>
      <xdr:rowOff>114300</xdr:rowOff>
    </xdr:to>
    <xdr:sp macro="" textlink="">
      <xdr:nvSpPr>
        <xdr:cNvPr id="15" name="AutoShape 8" descr="Resultado de imagen para portapapeles animado"/>
        <xdr:cNvSpPr>
          <a:spLocks noChangeAspect="1" noChangeArrowheads="1"/>
        </xdr:cNvSpPr>
      </xdr:nvSpPr>
      <xdr:spPr bwMode="auto">
        <a:xfrm>
          <a:off x="8315325" y="3177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565150</xdr:colOff>
      <xdr:row>15</xdr:row>
      <xdr:rowOff>11641</xdr:rowOff>
    </xdr:from>
    <xdr:to>
      <xdr:col>13</xdr:col>
      <xdr:colOff>641350</xdr:colOff>
      <xdr:row>20</xdr:row>
      <xdr:rowOff>116417</xdr:rowOff>
    </xdr:to>
    <xdr:pic>
      <xdr:nvPicPr>
        <xdr:cNvPr id="16" name="Imagen 15" descr="Resultado de imagen para podium animado">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6350" t="20637" r="4750" b="20624"/>
        <a:stretch/>
      </xdr:blipFill>
      <xdr:spPr bwMode="auto">
        <a:xfrm>
          <a:off x="8947150" y="2897716"/>
          <a:ext cx="1600200" cy="10572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275167</xdr:colOff>
      <xdr:row>22</xdr:row>
      <xdr:rowOff>20108</xdr:rowOff>
    </xdr:from>
    <xdr:to>
      <xdr:col>13</xdr:col>
      <xdr:colOff>608542</xdr:colOff>
      <xdr:row>23</xdr:row>
      <xdr:rowOff>86783</xdr:rowOff>
    </xdr:to>
    <xdr:sp macro="" textlink="">
      <xdr:nvSpPr>
        <xdr:cNvPr id="17" name="Rectángulo redondeado 16">
          <a:hlinkClick xmlns:r="http://schemas.openxmlformats.org/officeDocument/2006/relationships" r:id="rId9"/>
        </xdr:cNvPr>
        <xdr:cNvSpPr/>
      </xdr:nvSpPr>
      <xdr:spPr>
        <a:xfrm>
          <a:off x="8657167" y="4239683"/>
          <a:ext cx="1857375" cy="2571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Ranking.</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40"/>
  <sheetViews>
    <sheetView showGridLines="0" topLeftCell="A18" zoomScale="85" zoomScaleNormal="85" workbookViewId="0">
      <selection activeCell="N15" sqref="N15"/>
    </sheetView>
  </sheetViews>
  <sheetFormatPr baseColWidth="10" defaultRowHeight="15" x14ac:dyDescent="0.25"/>
  <cols>
    <col min="7" max="8" width="11.42578125" customWidth="1"/>
  </cols>
  <sheetData>
    <row r="1" spans="1:10" x14ac:dyDescent="0.25">
      <c r="A1" s="1"/>
      <c r="B1" s="1"/>
      <c r="C1" s="1"/>
      <c r="D1" s="1"/>
      <c r="E1" s="1"/>
      <c r="F1" s="1"/>
      <c r="G1" s="1"/>
      <c r="H1" s="1"/>
      <c r="I1" s="1"/>
      <c r="J1" s="1"/>
    </row>
    <row r="2" spans="1:10" x14ac:dyDescent="0.25">
      <c r="A2" s="1"/>
      <c r="B2" s="1"/>
      <c r="C2" s="1"/>
      <c r="D2" s="1"/>
      <c r="E2" s="1"/>
      <c r="F2" s="1"/>
      <c r="G2" s="1"/>
      <c r="H2" s="1"/>
      <c r="I2" s="1"/>
      <c r="J2" s="1"/>
    </row>
    <row r="3" spans="1:10" x14ac:dyDescent="0.25">
      <c r="A3" s="1"/>
      <c r="B3" s="1"/>
      <c r="C3" s="1"/>
      <c r="D3" s="1"/>
      <c r="E3" s="1"/>
      <c r="F3" s="1"/>
      <c r="G3" s="1"/>
      <c r="H3" s="1"/>
      <c r="I3" s="1"/>
      <c r="J3" s="1"/>
    </row>
    <row r="4" spans="1:10" x14ac:dyDescent="0.25">
      <c r="A4" s="1"/>
      <c r="B4" s="1"/>
      <c r="C4" s="1"/>
      <c r="D4" s="1"/>
      <c r="E4" s="1"/>
      <c r="F4" s="1"/>
      <c r="G4" s="1"/>
      <c r="H4" s="1"/>
      <c r="I4" s="1"/>
      <c r="J4" s="1"/>
    </row>
    <row r="5" spans="1:10" x14ac:dyDescent="0.25">
      <c r="A5" s="1"/>
      <c r="B5" s="1"/>
      <c r="C5" s="1"/>
      <c r="D5" s="1"/>
      <c r="E5" s="1"/>
      <c r="F5" s="1"/>
      <c r="G5" s="1"/>
      <c r="H5" s="1"/>
      <c r="I5" s="1"/>
      <c r="J5" s="1"/>
    </row>
    <row r="6" spans="1:10" ht="16.5" x14ac:dyDescent="0.3">
      <c r="A6" s="1"/>
      <c r="B6" s="1"/>
      <c r="C6" s="34" t="s">
        <v>0</v>
      </c>
      <c r="D6" s="34"/>
      <c r="E6" s="34"/>
      <c r="F6" s="34"/>
      <c r="G6" s="34"/>
      <c r="H6" s="1"/>
      <c r="I6" s="1"/>
      <c r="J6" s="1"/>
    </row>
    <row r="7" spans="1:10" x14ac:dyDescent="0.25">
      <c r="A7" s="1"/>
      <c r="B7" s="1"/>
      <c r="C7" s="1"/>
      <c r="D7" s="1"/>
      <c r="E7" s="1"/>
      <c r="F7" s="1"/>
      <c r="G7" s="1"/>
      <c r="H7" s="1"/>
      <c r="I7" s="1"/>
      <c r="J7" s="1"/>
    </row>
    <row r="8" spans="1:10" ht="16.5" x14ac:dyDescent="0.3">
      <c r="A8" s="1"/>
      <c r="B8" s="1"/>
      <c r="C8" s="34" t="s">
        <v>1</v>
      </c>
      <c r="D8" s="34"/>
      <c r="E8" s="34"/>
      <c r="F8" s="34"/>
      <c r="G8" s="34"/>
      <c r="H8" s="1"/>
      <c r="I8" s="1"/>
      <c r="J8" s="1"/>
    </row>
    <row r="9" spans="1:10" x14ac:dyDescent="0.25">
      <c r="A9" s="1"/>
      <c r="B9" s="1"/>
      <c r="C9" s="1"/>
      <c r="D9" s="1"/>
      <c r="E9" s="1"/>
      <c r="F9" s="1"/>
      <c r="G9" s="1"/>
      <c r="H9" s="1"/>
      <c r="I9" s="1"/>
      <c r="J9" s="1"/>
    </row>
    <row r="10" spans="1:10" x14ac:dyDescent="0.25">
      <c r="A10" s="1"/>
      <c r="B10" s="1"/>
      <c r="C10" s="1"/>
      <c r="D10" s="1"/>
      <c r="E10" s="1"/>
      <c r="F10" s="1"/>
      <c r="G10" s="1"/>
      <c r="H10" s="1"/>
      <c r="I10" s="1"/>
      <c r="J10" s="1"/>
    </row>
    <row r="11" spans="1:10" x14ac:dyDescent="0.25">
      <c r="A11" s="1"/>
      <c r="B11" s="1"/>
      <c r="C11" s="1"/>
      <c r="D11" s="1"/>
      <c r="E11" s="1"/>
      <c r="F11" s="1"/>
      <c r="G11" s="1"/>
      <c r="H11" s="1"/>
      <c r="I11" s="1"/>
      <c r="J11" s="1"/>
    </row>
    <row r="12" spans="1:10" x14ac:dyDescent="0.25">
      <c r="A12" s="1"/>
      <c r="B12" s="1"/>
      <c r="C12" s="1"/>
      <c r="D12" s="1"/>
      <c r="E12" s="1"/>
      <c r="F12" s="1"/>
      <c r="G12" s="1"/>
      <c r="H12" s="1"/>
      <c r="I12" s="1"/>
      <c r="J12" s="1"/>
    </row>
    <row r="13" spans="1:10" x14ac:dyDescent="0.25">
      <c r="A13" s="1"/>
      <c r="B13" s="1"/>
      <c r="C13" s="1"/>
      <c r="D13" s="1"/>
      <c r="E13" s="1"/>
      <c r="F13" s="1"/>
      <c r="G13" s="1"/>
      <c r="H13" s="1"/>
      <c r="I13" s="1"/>
      <c r="J13" s="1"/>
    </row>
    <row r="14" spans="1:10" ht="16.5" x14ac:dyDescent="0.3">
      <c r="A14" s="1"/>
      <c r="B14" s="1"/>
      <c r="C14" s="34" t="s">
        <v>2</v>
      </c>
      <c r="D14" s="34"/>
      <c r="E14" s="34"/>
      <c r="F14" s="34"/>
      <c r="G14" s="34"/>
      <c r="H14" s="1"/>
      <c r="I14" s="1"/>
      <c r="J14" s="1"/>
    </row>
    <row r="15" spans="1:10" x14ac:dyDescent="0.25">
      <c r="A15" s="1"/>
      <c r="B15" s="1"/>
      <c r="C15" s="1"/>
      <c r="D15" s="1"/>
      <c r="E15" s="1"/>
      <c r="F15" s="1"/>
      <c r="G15" s="1"/>
      <c r="H15" s="1"/>
      <c r="I15" s="1"/>
      <c r="J15" s="1"/>
    </row>
    <row r="16" spans="1:10" ht="16.5" x14ac:dyDescent="0.3">
      <c r="A16" s="1"/>
      <c r="B16" s="1"/>
      <c r="C16" s="34" t="s">
        <v>6</v>
      </c>
      <c r="D16" s="34"/>
      <c r="E16" s="34"/>
      <c r="F16" s="34"/>
      <c r="G16" s="34"/>
      <c r="H16" s="1"/>
      <c r="I16" s="1"/>
      <c r="J16" s="1"/>
    </row>
    <row r="17" spans="1:10" x14ac:dyDescent="0.25">
      <c r="A17" s="1"/>
      <c r="B17" s="1"/>
      <c r="C17" s="2"/>
      <c r="D17" s="1"/>
      <c r="E17" s="1"/>
      <c r="F17" s="1"/>
      <c r="G17" s="1"/>
      <c r="H17" s="1"/>
      <c r="I17" s="1"/>
      <c r="J17" s="1"/>
    </row>
    <row r="18" spans="1:10" ht="16.5" x14ac:dyDescent="0.3">
      <c r="A18" s="1"/>
      <c r="B18" s="1"/>
      <c r="C18" s="34" t="s">
        <v>3</v>
      </c>
      <c r="D18" s="34"/>
      <c r="E18" s="34"/>
      <c r="F18" s="34"/>
      <c r="G18" s="34"/>
      <c r="H18" s="1"/>
      <c r="I18" s="1"/>
      <c r="J18" s="1"/>
    </row>
    <row r="19" spans="1:10" x14ac:dyDescent="0.25">
      <c r="A19" s="1"/>
      <c r="B19" s="1"/>
      <c r="C19" s="1"/>
      <c r="D19" s="1"/>
      <c r="E19" s="1"/>
      <c r="F19" s="1"/>
      <c r="G19" s="1"/>
      <c r="H19" s="1"/>
      <c r="I19" s="1"/>
      <c r="J19" s="1"/>
    </row>
    <row r="20" spans="1:10" ht="16.5" x14ac:dyDescent="0.3">
      <c r="A20" s="1"/>
      <c r="B20" s="1"/>
      <c r="C20" s="34" t="s">
        <v>4</v>
      </c>
      <c r="D20" s="34"/>
      <c r="E20" s="34"/>
      <c r="F20" s="34"/>
      <c r="G20" s="34"/>
      <c r="H20" s="1"/>
      <c r="I20" s="1"/>
      <c r="J20" s="1"/>
    </row>
    <row r="21" spans="1:10" x14ac:dyDescent="0.25">
      <c r="A21" s="1"/>
      <c r="B21" s="1"/>
      <c r="C21" s="1"/>
      <c r="D21" s="1"/>
      <c r="E21" s="1"/>
      <c r="F21" s="1"/>
      <c r="G21" s="1"/>
      <c r="H21" s="1"/>
      <c r="I21" s="1"/>
      <c r="J21" s="1"/>
    </row>
    <row r="22" spans="1:10" ht="16.5" x14ac:dyDescent="0.3">
      <c r="A22" s="1"/>
      <c r="B22" s="1"/>
      <c r="C22" s="34" t="s">
        <v>5</v>
      </c>
      <c r="D22" s="34"/>
      <c r="E22" s="34"/>
      <c r="F22" s="34"/>
      <c r="G22" s="34"/>
      <c r="H22" s="1"/>
      <c r="I22" s="1"/>
      <c r="J22" s="1"/>
    </row>
    <row r="23" spans="1:10" x14ac:dyDescent="0.25">
      <c r="A23" s="1"/>
      <c r="B23" s="1"/>
      <c r="C23" s="1"/>
      <c r="D23" s="1"/>
      <c r="E23" s="1"/>
      <c r="F23" s="1"/>
      <c r="G23" s="1"/>
      <c r="H23" s="1"/>
      <c r="I23" s="1"/>
      <c r="J23" s="1"/>
    </row>
    <row r="24" spans="1:10" x14ac:dyDescent="0.25">
      <c r="A24" s="1"/>
      <c r="B24" s="1"/>
      <c r="C24" s="1"/>
      <c r="D24" s="1"/>
      <c r="E24" s="1"/>
      <c r="F24" s="1"/>
      <c r="G24" s="1"/>
      <c r="H24" s="1"/>
      <c r="I24" s="1"/>
      <c r="J24" s="1"/>
    </row>
    <row r="25" spans="1:10" x14ac:dyDescent="0.25">
      <c r="A25" s="1"/>
      <c r="B25" s="1"/>
      <c r="C25" s="1"/>
      <c r="D25" s="1"/>
      <c r="E25" s="1"/>
      <c r="F25" s="1"/>
      <c r="G25" s="1"/>
      <c r="H25" s="1"/>
      <c r="I25" s="1"/>
      <c r="J25" s="1"/>
    </row>
    <row r="26" spans="1:10" x14ac:dyDescent="0.25">
      <c r="A26" s="1"/>
      <c r="B26" s="1"/>
      <c r="C26" s="1"/>
      <c r="D26" s="1"/>
      <c r="E26" s="1"/>
      <c r="F26" s="1"/>
      <c r="G26" s="1"/>
      <c r="H26" s="1"/>
      <c r="J26" s="1"/>
    </row>
    <row r="27" spans="1:10" x14ac:dyDescent="0.25">
      <c r="A27" s="1"/>
      <c r="B27" s="1"/>
      <c r="C27" s="1"/>
      <c r="D27" s="1"/>
      <c r="E27" s="1"/>
      <c r="F27" s="1"/>
      <c r="G27" s="1"/>
      <c r="H27" s="1"/>
      <c r="I27" s="1"/>
      <c r="J27" s="1"/>
    </row>
    <row r="28" spans="1:10" x14ac:dyDescent="0.25">
      <c r="A28" s="1"/>
      <c r="B28" s="1"/>
      <c r="C28" s="1"/>
      <c r="D28" s="1"/>
      <c r="E28" s="1"/>
      <c r="F28" s="1"/>
      <c r="G28" s="1"/>
      <c r="H28" s="1"/>
      <c r="I28" s="1"/>
      <c r="J28" s="1"/>
    </row>
    <row r="29" spans="1:10" x14ac:dyDescent="0.25">
      <c r="A29" s="1"/>
      <c r="B29" s="1"/>
      <c r="C29" s="1"/>
      <c r="D29" s="1"/>
      <c r="E29" s="1"/>
      <c r="F29" s="1"/>
      <c r="G29" s="1"/>
      <c r="H29" s="1"/>
      <c r="I29" s="1"/>
      <c r="J29" s="1"/>
    </row>
    <row r="30" spans="1:10" x14ac:dyDescent="0.25">
      <c r="A30" s="1"/>
      <c r="B30" s="1"/>
      <c r="C30" s="1"/>
      <c r="D30" s="1"/>
      <c r="E30" s="1"/>
      <c r="F30" s="1"/>
      <c r="G30" s="1"/>
      <c r="H30" s="1"/>
      <c r="J30" s="1"/>
    </row>
    <row r="31" spans="1:10" x14ac:dyDescent="0.25">
      <c r="A31" s="1"/>
      <c r="B31" s="1"/>
      <c r="C31" s="1"/>
      <c r="D31" s="1"/>
      <c r="E31" s="1"/>
      <c r="F31" s="1"/>
      <c r="G31" s="1"/>
      <c r="H31" s="1"/>
      <c r="I31" s="1"/>
      <c r="J31" s="1"/>
    </row>
    <row r="32" spans="1:10" x14ac:dyDescent="0.25">
      <c r="A32" s="1"/>
      <c r="B32" s="1"/>
      <c r="C32" s="1"/>
      <c r="D32" s="1"/>
      <c r="E32" s="1"/>
      <c r="F32" s="1"/>
      <c r="G32" s="1"/>
      <c r="H32" s="1"/>
      <c r="I32" s="1"/>
      <c r="J32" s="1"/>
    </row>
    <row r="33" spans="1:10" x14ac:dyDescent="0.25">
      <c r="A33" s="1"/>
      <c r="B33" s="1"/>
      <c r="C33" s="1"/>
      <c r="D33" s="1"/>
      <c r="E33" s="1"/>
      <c r="F33" s="1"/>
      <c r="G33" s="1"/>
      <c r="H33" s="1"/>
      <c r="I33" s="1"/>
      <c r="J33" s="1"/>
    </row>
    <row r="34" spans="1:10" x14ac:dyDescent="0.25">
      <c r="A34" s="1"/>
      <c r="B34" s="1"/>
      <c r="C34" s="1"/>
      <c r="D34" s="1"/>
      <c r="E34" s="1"/>
      <c r="F34" s="1"/>
      <c r="G34" s="1"/>
      <c r="H34" s="1"/>
      <c r="I34" s="1"/>
      <c r="J34" s="1"/>
    </row>
    <row r="35" spans="1:10" x14ac:dyDescent="0.25">
      <c r="A35" s="1"/>
      <c r="B35" s="1"/>
      <c r="C35" s="1"/>
      <c r="D35" s="1"/>
      <c r="E35" s="1"/>
      <c r="F35" s="1"/>
      <c r="G35" s="1"/>
      <c r="H35" s="1"/>
      <c r="I35" s="1"/>
      <c r="J35" s="1"/>
    </row>
    <row r="36" spans="1:10" x14ac:dyDescent="0.25">
      <c r="A36" s="1"/>
      <c r="B36" s="1"/>
      <c r="C36" s="1"/>
      <c r="D36" s="1"/>
      <c r="E36" s="1"/>
      <c r="F36" s="1"/>
      <c r="G36" s="1"/>
      <c r="H36" s="1"/>
      <c r="I36" s="1"/>
      <c r="J36" s="1"/>
    </row>
    <row r="37" spans="1:10" x14ac:dyDescent="0.25">
      <c r="A37" s="1"/>
      <c r="B37" s="1"/>
      <c r="C37" s="1"/>
      <c r="D37" s="1"/>
      <c r="E37" s="1"/>
      <c r="F37" s="1"/>
      <c r="G37" s="1"/>
      <c r="H37" s="1"/>
      <c r="I37" s="1"/>
      <c r="J37" s="1"/>
    </row>
    <row r="38" spans="1:10" x14ac:dyDescent="0.25">
      <c r="A38" s="1"/>
      <c r="B38" s="1"/>
      <c r="C38" s="1"/>
      <c r="D38" s="1"/>
      <c r="E38" s="1"/>
      <c r="F38" s="1"/>
      <c r="G38" s="1"/>
      <c r="H38" s="1"/>
      <c r="I38" s="1"/>
      <c r="J38" s="1"/>
    </row>
    <row r="39" spans="1:10" x14ac:dyDescent="0.25">
      <c r="A39" s="1"/>
      <c r="B39" s="1"/>
      <c r="C39" s="1"/>
      <c r="D39" s="1"/>
      <c r="E39" s="1"/>
      <c r="F39" s="1"/>
      <c r="G39" s="1"/>
      <c r="H39" s="1"/>
      <c r="I39" s="1"/>
    </row>
    <row r="40" spans="1:10" x14ac:dyDescent="0.25">
      <c r="A40" s="1"/>
      <c r="B40" s="1"/>
      <c r="C40" s="1"/>
      <c r="D40" s="1"/>
      <c r="E40" s="1"/>
      <c r="F40" s="1"/>
      <c r="G40" s="1"/>
      <c r="H40" s="1"/>
      <c r="I40" s="1"/>
      <c r="J40" s="1"/>
    </row>
  </sheetData>
  <mergeCells count="7">
    <mergeCell ref="C20:G20"/>
    <mergeCell ref="C22:G22"/>
    <mergeCell ref="C6:G6"/>
    <mergeCell ref="C8:G8"/>
    <mergeCell ref="C14:G14"/>
    <mergeCell ref="C18:G18"/>
    <mergeCell ref="C16:G16"/>
  </mergeCells>
  <pageMargins left="0.98425196850393704" right="0.98425196850393704" top="0.98425196850393704" bottom="0.98425196850393704" header="0.51181102362204722" footer="0.51181102362204722"/>
  <pageSetup paperSize="286"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R25"/>
  <sheetViews>
    <sheetView showGridLines="0" topLeftCell="A13" workbookViewId="0"/>
  </sheetViews>
  <sheetFormatPr baseColWidth="10" defaultRowHeight="15" x14ac:dyDescent="0.25"/>
  <sheetData>
    <row r="2" spans="1:18" ht="16.5" x14ac:dyDescent="0.3">
      <c r="A2" s="42" t="s">
        <v>8</v>
      </c>
      <c r="B2" s="42"/>
      <c r="C2" s="42"/>
      <c r="D2" s="42" t="s">
        <v>7</v>
      </c>
      <c r="E2" s="42"/>
      <c r="F2" s="42"/>
      <c r="G2" s="42"/>
      <c r="H2" s="42"/>
      <c r="I2" s="42"/>
      <c r="J2" s="42"/>
      <c r="K2" s="42"/>
      <c r="L2" s="42"/>
      <c r="M2" s="42"/>
      <c r="N2" s="42"/>
      <c r="O2" s="42"/>
      <c r="P2" s="42"/>
    </row>
    <row r="3" spans="1:18" ht="121.5" customHeight="1" x14ac:dyDescent="0.25">
      <c r="A3" s="38" t="s">
        <v>9</v>
      </c>
      <c r="B3" s="38"/>
      <c r="C3" s="38"/>
      <c r="D3" s="39" t="s">
        <v>10</v>
      </c>
      <c r="E3" s="39"/>
      <c r="F3" s="39"/>
      <c r="G3" s="39"/>
      <c r="H3" s="39"/>
      <c r="I3" s="39"/>
      <c r="J3" s="39"/>
      <c r="K3" s="39"/>
      <c r="L3" s="39"/>
      <c r="M3" s="39"/>
      <c r="N3" s="39"/>
      <c r="O3" s="39"/>
      <c r="P3" s="39"/>
      <c r="Q3" s="3"/>
      <c r="R3" s="3"/>
    </row>
    <row r="4" spans="1:18" ht="143.25" customHeight="1" x14ac:dyDescent="0.25">
      <c r="A4" s="35" t="s">
        <v>11</v>
      </c>
      <c r="B4" s="35"/>
      <c r="C4" s="35"/>
      <c r="D4" s="44" t="s">
        <v>12</v>
      </c>
      <c r="E4" s="44"/>
      <c r="F4" s="44"/>
      <c r="G4" s="44"/>
      <c r="H4" s="44"/>
      <c r="I4" s="44"/>
      <c r="J4" s="44"/>
      <c r="K4" s="44"/>
      <c r="L4" s="44"/>
      <c r="M4" s="44"/>
      <c r="N4" s="44"/>
      <c r="O4" s="44"/>
      <c r="P4" s="44"/>
    </row>
    <row r="5" spans="1:18" ht="153" customHeight="1" x14ac:dyDescent="0.25">
      <c r="A5" s="38" t="s">
        <v>13</v>
      </c>
      <c r="B5" s="38"/>
      <c r="C5" s="38"/>
      <c r="D5" s="39" t="s">
        <v>14</v>
      </c>
      <c r="E5" s="43"/>
      <c r="F5" s="43"/>
      <c r="G5" s="43"/>
      <c r="H5" s="43"/>
      <c r="I5" s="43"/>
      <c r="J5" s="43"/>
      <c r="K5" s="43"/>
      <c r="L5" s="43"/>
      <c r="M5" s="43"/>
      <c r="N5" s="43"/>
      <c r="O5" s="43"/>
      <c r="P5" s="43"/>
    </row>
    <row r="6" spans="1:18" ht="189" customHeight="1" x14ac:dyDescent="0.25">
      <c r="A6" s="35" t="s">
        <v>15</v>
      </c>
      <c r="B6" s="35"/>
      <c r="C6" s="35"/>
      <c r="D6" s="36" t="s">
        <v>16</v>
      </c>
      <c r="E6" s="37"/>
      <c r="F6" s="37"/>
      <c r="G6" s="37"/>
      <c r="H6" s="37"/>
      <c r="I6" s="37"/>
      <c r="J6" s="37"/>
      <c r="K6" s="37"/>
      <c r="L6" s="37"/>
      <c r="M6" s="37"/>
      <c r="N6" s="37"/>
      <c r="O6" s="37"/>
      <c r="P6" s="37"/>
    </row>
    <row r="7" spans="1:18" ht="225.75" customHeight="1" x14ac:dyDescent="0.25">
      <c r="A7" s="38" t="s">
        <v>17</v>
      </c>
      <c r="B7" s="38"/>
      <c r="C7" s="38"/>
      <c r="D7" s="40" t="s">
        <v>18</v>
      </c>
      <c r="E7" s="40"/>
      <c r="F7" s="40"/>
      <c r="G7" s="40"/>
      <c r="H7" s="40"/>
      <c r="I7" s="40"/>
      <c r="J7" s="40"/>
      <c r="K7" s="40"/>
      <c r="L7" s="40"/>
      <c r="M7" s="40"/>
      <c r="N7" s="40"/>
      <c r="O7" s="40"/>
      <c r="P7" s="40"/>
    </row>
    <row r="8" spans="1:18" ht="124.5" customHeight="1" x14ac:dyDescent="0.25">
      <c r="A8" s="35" t="s">
        <v>19</v>
      </c>
      <c r="B8" s="35"/>
      <c r="C8" s="35"/>
      <c r="D8" s="36" t="s">
        <v>20</v>
      </c>
      <c r="E8" s="41"/>
      <c r="F8" s="41"/>
      <c r="G8" s="41"/>
      <c r="H8" s="41"/>
      <c r="I8" s="41"/>
      <c r="J8" s="41"/>
      <c r="K8" s="41"/>
      <c r="L8" s="41"/>
      <c r="M8" s="41"/>
      <c r="N8" s="41"/>
      <c r="O8" s="41"/>
      <c r="P8" s="41"/>
    </row>
    <row r="9" spans="1:18" ht="303" customHeight="1" x14ac:dyDescent="0.25">
      <c r="A9" s="38" t="s">
        <v>21</v>
      </c>
      <c r="B9" s="38"/>
      <c r="C9" s="38"/>
      <c r="D9" s="39" t="s">
        <v>22</v>
      </c>
      <c r="E9" s="40"/>
      <c r="F9" s="40"/>
      <c r="G9" s="40"/>
      <c r="H9" s="40"/>
      <c r="I9" s="40"/>
      <c r="J9" s="40"/>
      <c r="K9" s="40"/>
      <c r="L9" s="40"/>
      <c r="M9" s="40"/>
      <c r="N9" s="40"/>
      <c r="O9" s="40"/>
      <c r="P9" s="40"/>
    </row>
    <row r="10" spans="1:18" ht="225.75" customHeight="1" x14ac:dyDescent="0.25">
      <c r="A10" s="35" t="s">
        <v>23</v>
      </c>
      <c r="B10" s="35"/>
      <c r="C10" s="35"/>
      <c r="D10" s="36" t="s">
        <v>24</v>
      </c>
      <c r="E10" s="37"/>
      <c r="F10" s="37"/>
      <c r="G10" s="37"/>
      <c r="H10" s="37"/>
      <c r="I10" s="37"/>
      <c r="J10" s="37"/>
      <c r="K10" s="37"/>
      <c r="L10" s="37"/>
      <c r="M10" s="37"/>
      <c r="N10" s="37"/>
      <c r="O10" s="37"/>
      <c r="P10" s="37"/>
    </row>
    <row r="11" spans="1:18" ht="225.75" customHeight="1" x14ac:dyDescent="0.25">
      <c r="A11" s="38" t="s">
        <v>25</v>
      </c>
      <c r="B11" s="38"/>
      <c r="C11" s="38"/>
      <c r="D11" s="39" t="s">
        <v>26</v>
      </c>
      <c r="E11" s="40"/>
      <c r="F11" s="40"/>
      <c r="G11" s="40"/>
      <c r="H11" s="40"/>
      <c r="I11" s="40"/>
      <c r="J11" s="40"/>
      <c r="K11" s="40"/>
      <c r="L11" s="40"/>
      <c r="M11" s="40"/>
      <c r="N11" s="40"/>
      <c r="O11" s="40"/>
      <c r="P11" s="40"/>
    </row>
    <row r="12" spans="1:18" ht="213" customHeight="1" x14ac:dyDescent="0.25">
      <c r="A12" s="35" t="s">
        <v>27</v>
      </c>
      <c r="B12" s="35"/>
      <c r="C12" s="35"/>
      <c r="D12" s="36" t="s">
        <v>28</v>
      </c>
      <c r="E12" s="36"/>
      <c r="F12" s="36"/>
      <c r="G12" s="36"/>
      <c r="H12" s="36"/>
      <c r="I12" s="36"/>
      <c r="J12" s="36"/>
      <c r="K12" s="36"/>
      <c r="L12" s="36"/>
      <c r="M12" s="36"/>
      <c r="N12" s="36"/>
      <c r="O12" s="36"/>
      <c r="P12" s="36"/>
    </row>
    <row r="14" spans="1:18" x14ac:dyDescent="0.25">
      <c r="D14" s="1"/>
      <c r="E14" s="1"/>
      <c r="F14" s="1"/>
      <c r="G14" s="1"/>
      <c r="H14" s="1"/>
      <c r="I14" s="1"/>
      <c r="J14" s="1"/>
      <c r="K14" s="1"/>
      <c r="L14" s="1"/>
      <c r="M14" s="1"/>
      <c r="N14" s="1"/>
      <c r="O14" s="1"/>
      <c r="P14" s="1"/>
      <c r="Q14" s="1"/>
    </row>
    <row r="15" spans="1:18" x14ac:dyDescent="0.25">
      <c r="D15" s="1"/>
      <c r="E15" s="1"/>
      <c r="F15" s="1"/>
      <c r="G15" s="1"/>
      <c r="H15" s="1"/>
      <c r="I15" s="1"/>
      <c r="J15" s="1"/>
      <c r="K15" s="1"/>
      <c r="L15" s="1"/>
      <c r="M15" s="1"/>
      <c r="N15" s="1"/>
      <c r="O15" s="1"/>
      <c r="P15" s="1"/>
      <c r="Q15" s="1"/>
    </row>
    <row r="16" spans="1:18" x14ac:dyDescent="0.25">
      <c r="D16" s="1"/>
      <c r="E16" s="1"/>
      <c r="F16" s="1"/>
      <c r="G16" s="1"/>
      <c r="H16" s="1"/>
      <c r="I16" s="1"/>
      <c r="J16" s="1"/>
      <c r="K16" s="1"/>
      <c r="L16" s="1"/>
      <c r="M16" s="1"/>
      <c r="N16" s="1"/>
      <c r="O16" s="1"/>
      <c r="P16" s="1"/>
      <c r="Q16" s="1"/>
    </row>
    <row r="17" spans="4:17" x14ac:dyDescent="0.25">
      <c r="D17" s="1"/>
      <c r="E17" s="1"/>
      <c r="F17" s="1"/>
      <c r="G17" s="1"/>
      <c r="H17" s="1"/>
      <c r="J17" s="1"/>
      <c r="K17" s="1"/>
      <c r="L17" s="1"/>
      <c r="M17" s="1"/>
      <c r="N17" s="1"/>
      <c r="O17" s="1"/>
      <c r="P17" s="1"/>
      <c r="Q17" s="1"/>
    </row>
    <row r="18" spans="4:17" x14ac:dyDescent="0.25">
      <c r="D18" s="1"/>
      <c r="E18" s="1"/>
      <c r="F18" s="1"/>
      <c r="G18" s="1"/>
      <c r="H18" s="1"/>
      <c r="I18" s="1"/>
      <c r="J18" s="1"/>
      <c r="K18" s="1"/>
      <c r="L18" s="1"/>
      <c r="M18" s="1"/>
      <c r="N18" s="1"/>
      <c r="O18" s="1"/>
      <c r="P18" s="1"/>
      <c r="Q18" s="1"/>
    </row>
    <row r="19" spans="4:17" x14ac:dyDescent="0.25">
      <c r="D19" s="1"/>
      <c r="E19" s="1"/>
      <c r="F19" s="1"/>
      <c r="G19" s="1"/>
      <c r="H19" s="1"/>
      <c r="I19" s="1"/>
      <c r="J19" s="1"/>
      <c r="K19" s="1"/>
      <c r="L19" s="1"/>
      <c r="M19" s="1"/>
      <c r="N19" s="1"/>
      <c r="O19" s="1"/>
      <c r="P19" s="1"/>
      <c r="Q19" s="1"/>
    </row>
    <row r="20" spans="4:17" x14ac:dyDescent="0.25">
      <c r="D20" s="1"/>
      <c r="E20" s="1"/>
      <c r="F20" s="1"/>
      <c r="G20" s="1"/>
      <c r="H20" s="1"/>
      <c r="I20" s="1"/>
    </row>
    <row r="21" spans="4:17" x14ac:dyDescent="0.25">
      <c r="D21" s="1"/>
      <c r="E21" s="1"/>
      <c r="F21" s="1"/>
      <c r="G21" s="1"/>
      <c r="H21" s="1"/>
    </row>
    <row r="22" spans="4:17" x14ac:dyDescent="0.25">
      <c r="D22" s="1"/>
      <c r="E22" s="1"/>
      <c r="F22" s="1"/>
      <c r="G22" s="1"/>
      <c r="H22" s="1"/>
      <c r="I22" s="1"/>
    </row>
    <row r="23" spans="4:17" x14ac:dyDescent="0.25">
      <c r="D23" s="1"/>
      <c r="E23" s="1"/>
      <c r="F23" s="1"/>
      <c r="G23" s="1"/>
      <c r="H23" s="1"/>
      <c r="I23" s="1"/>
    </row>
    <row r="24" spans="4:17" x14ac:dyDescent="0.25">
      <c r="D24" s="1"/>
      <c r="E24" s="1"/>
      <c r="F24" s="1"/>
      <c r="G24" s="1"/>
      <c r="H24" s="1"/>
      <c r="I24" s="1"/>
    </row>
    <row r="25" spans="4:17" x14ac:dyDescent="0.25">
      <c r="D25" s="1"/>
      <c r="E25" s="1"/>
      <c r="F25" s="1"/>
      <c r="G25" s="1"/>
      <c r="H25" s="1"/>
      <c r="I25" s="1"/>
    </row>
  </sheetData>
  <mergeCells count="22">
    <mergeCell ref="A6:C6"/>
    <mergeCell ref="D6:P6"/>
    <mergeCell ref="A3:C3"/>
    <mergeCell ref="A4:C4"/>
    <mergeCell ref="D4:P4"/>
    <mergeCell ref="A2:C2"/>
    <mergeCell ref="D2:P2"/>
    <mergeCell ref="D3:P3"/>
    <mergeCell ref="A5:C5"/>
    <mergeCell ref="D5:P5"/>
    <mergeCell ref="A7:C7"/>
    <mergeCell ref="D7:P7"/>
    <mergeCell ref="A8:C8"/>
    <mergeCell ref="D8:P8"/>
    <mergeCell ref="A9:C9"/>
    <mergeCell ref="D9:P9"/>
    <mergeCell ref="A10:C10"/>
    <mergeCell ref="D10:P10"/>
    <mergeCell ref="A11:C11"/>
    <mergeCell ref="D11:P11"/>
    <mergeCell ref="A12:C12"/>
    <mergeCell ref="D12:P12"/>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63"/>
  <sheetViews>
    <sheetView showGridLines="0" topLeftCell="E41" workbookViewId="0"/>
  </sheetViews>
  <sheetFormatPr baseColWidth="10" defaultRowHeight="15" x14ac:dyDescent="0.25"/>
  <cols>
    <col min="3" max="3" width="26" bestFit="1" customWidth="1"/>
    <col min="7" max="7" width="23.42578125" bestFit="1" customWidth="1"/>
    <col min="11" max="11" width="23.42578125" bestFit="1" customWidth="1"/>
    <col min="15" max="15" width="23.42578125" bestFit="1" customWidth="1"/>
  </cols>
  <sheetData>
    <row r="1" spans="1:16" ht="16.5" x14ac:dyDescent="0.3">
      <c r="A1" s="4" t="s">
        <v>42</v>
      </c>
    </row>
    <row r="3" spans="1:16" x14ac:dyDescent="0.25">
      <c r="A3" s="5" t="s">
        <v>29</v>
      </c>
      <c r="B3" s="5"/>
      <c r="C3" s="5" t="s">
        <v>30</v>
      </c>
      <c r="D3" s="5"/>
      <c r="E3" s="9" t="s">
        <v>31</v>
      </c>
      <c r="F3" s="9"/>
      <c r="G3" s="9" t="s">
        <v>32</v>
      </c>
      <c r="H3" s="9"/>
      <c r="I3" s="5" t="s">
        <v>33</v>
      </c>
      <c r="J3" s="5"/>
      <c r="K3" s="5" t="s">
        <v>30</v>
      </c>
      <c r="L3" s="5"/>
      <c r="M3" s="9" t="s">
        <v>34</v>
      </c>
      <c r="N3" s="9"/>
      <c r="O3" s="9" t="s">
        <v>32</v>
      </c>
      <c r="P3" s="9"/>
    </row>
    <row r="4" spans="1:16" x14ac:dyDescent="0.25">
      <c r="A4" s="7" t="s">
        <v>36</v>
      </c>
      <c r="B4" s="7"/>
      <c r="C4" s="8">
        <v>1413891364</v>
      </c>
      <c r="D4" s="7"/>
      <c r="E4" s="10" t="s">
        <v>36</v>
      </c>
      <c r="F4" s="10"/>
      <c r="G4" s="11">
        <v>351912805</v>
      </c>
      <c r="H4" s="10"/>
      <c r="I4" s="7" t="s">
        <v>35</v>
      </c>
      <c r="J4" s="7"/>
      <c r="K4" s="8">
        <v>51790439</v>
      </c>
      <c r="L4" s="7"/>
      <c r="M4" s="10" t="s">
        <v>36</v>
      </c>
      <c r="N4" s="10"/>
      <c r="O4" s="11">
        <v>147386983</v>
      </c>
      <c r="P4" s="10"/>
    </row>
    <row r="5" spans="1:16" x14ac:dyDescent="0.25">
      <c r="A5" s="7" t="s">
        <v>35</v>
      </c>
      <c r="B5" s="7"/>
      <c r="C5" s="8">
        <v>369828360</v>
      </c>
      <c r="D5" s="7"/>
      <c r="E5" s="10" t="s">
        <v>35</v>
      </c>
      <c r="F5" s="10"/>
      <c r="G5" s="11">
        <v>127384221</v>
      </c>
      <c r="H5" s="10"/>
      <c r="I5" s="7" t="s">
        <v>36</v>
      </c>
      <c r="J5" s="7"/>
      <c r="K5" s="8">
        <v>40233464</v>
      </c>
      <c r="L5" s="7"/>
      <c r="M5" s="10" t="s">
        <v>35</v>
      </c>
      <c r="N5" s="10"/>
      <c r="O5" s="11">
        <v>45139213</v>
      </c>
      <c r="P5" s="10"/>
    </row>
    <row r="6" spans="1:16" x14ac:dyDescent="0.25">
      <c r="A6" s="7" t="s">
        <v>23</v>
      </c>
      <c r="B6" s="7"/>
      <c r="C6" s="8">
        <v>297842447</v>
      </c>
      <c r="D6" s="7"/>
      <c r="E6" s="10" t="s">
        <v>23</v>
      </c>
      <c r="F6" s="10"/>
      <c r="G6" s="11">
        <v>72139026</v>
      </c>
      <c r="H6" s="10"/>
      <c r="I6" s="7" t="s">
        <v>37</v>
      </c>
      <c r="J6" s="7"/>
      <c r="K6" s="8">
        <v>17764614</v>
      </c>
      <c r="L6" s="7"/>
      <c r="M6" s="10" t="s">
        <v>25</v>
      </c>
      <c r="N6" s="10"/>
      <c r="O6" s="11">
        <v>38713426</v>
      </c>
      <c r="P6" s="10"/>
    </row>
    <row r="7" spans="1:16" x14ac:dyDescent="0.25">
      <c r="A7" s="7" t="s">
        <v>25</v>
      </c>
      <c r="B7" s="7"/>
      <c r="C7" s="8">
        <v>184132460</v>
      </c>
      <c r="D7" s="7"/>
      <c r="E7" s="10" t="s">
        <v>37</v>
      </c>
      <c r="F7" s="10"/>
      <c r="G7" s="11">
        <v>57142144</v>
      </c>
      <c r="H7" s="10"/>
      <c r="I7" s="7" t="s">
        <v>27</v>
      </c>
      <c r="J7" s="7"/>
      <c r="K7" s="8">
        <v>2991209</v>
      </c>
      <c r="L7" s="7"/>
      <c r="M7" s="10" t="s">
        <v>37</v>
      </c>
      <c r="N7" s="10"/>
      <c r="O7" s="11">
        <v>29599223</v>
      </c>
      <c r="P7" s="10"/>
    </row>
    <row r="8" spans="1:16" x14ac:dyDescent="0.25">
      <c r="A8" s="7" t="s">
        <v>37</v>
      </c>
      <c r="B8" s="7"/>
      <c r="C8" s="8">
        <v>137889196</v>
      </c>
      <c r="D8" s="7"/>
      <c r="E8" s="10" t="s">
        <v>25</v>
      </c>
      <c r="F8" s="10"/>
      <c r="G8" s="11">
        <v>42468689</v>
      </c>
      <c r="H8" s="10"/>
      <c r="I8" s="7" t="s">
        <v>25</v>
      </c>
      <c r="J8" s="7"/>
      <c r="K8" s="8">
        <v>1259165</v>
      </c>
      <c r="L8" s="7"/>
      <c r="M8" s="10" t="s">
        <v>23</v>
      </c>
      <c r="N8" s="10"/>
      <c r="O8" s="11">
        <v>28225529</v>
      </c>
      <c r="P8" s="10"/>
    </row>
    <row r="9" spans="1:16" x14ac:dyDescent="0.25">
      <c r="A9" s="7" t="s">
        <v>38</v>
      </c>
      <c r="B9" s="7"/>
      <c r="C9" s="8">
        <v>34408290</v>
      </c>
      <c r="D9" s="7"/>
      <c r="E9" s="10" t="s">
        <v>27</v>
      </c>
      <c r="F9" s="10"/>
      <c r="G9" s="11">
        <v>9980696</v>
      </c>
      <c r="H9" s="10"/>
      <c r="I9" s="7" t="s">
        <v>23</v>
      </c>
      <c r="J9" s="7"/>
      <c r="K9" s="8">
        <v>1026428</v>
      </c>
      <c r="L9" s="7"/>
      <c r="M9" s="10" t="s">
        <v>27</v>
      </c>
      <c r="N9" s="10"/>
      <c r="O9" s="11">
        <v>4531496</v>
      </c>
      <c r="P9" s="10"/>
    </row>
    <row r="10" spans="1:16" x14ac:dyDescent="0.25">
      <c r="A10" s="7" t="s">
        <v>27</v>
      </c>
      <c r="B10" s="7"/>
      <c r="C10" s="8">
        <v>28407841</v>
      </c>
      <c r="D10" s="7"/>
      <c r="E10" s="10" t="s">
        <v>39</v>
      </c>
      <c r="F10" s="10"/>
      <c r="G10" s="11">
        <v>6943928</v>
      </c>
      <c r="H10" s="10"/>
      <c r="I10" s="7" t="s">
        <v>40</v>
      </c>
      <c r="J10" s="7"/>
      <c r="K10" s="8">
        <v>603807</v>
      </c>
      <c r="L10" s="7"/>
      <c r="M10" s="10" t="s">
        <v>39</v>
      </c>
      <c r="N10" s="10"/>
      <c r="O10" s="11">
        <v>4099652</v>
      </c>
      <c r="P10" s="10"/>
    </row>
    <row r="11" spans="1:16" x14ac:dyDescent="0.25">
      <c r="A11" s="7" t="s">
        <v>39</v>
      </c>
      <c r="B11" s="7"/>
      <c r="C11" s="8">
        <v>28155802</v>
      </c>
      <c r="D11" s="7"/>
      <c r="E11" s="10" t="s">
        <v>38</v>
      </c>
      <c r="F11" s="10"/>
      <c r="G11" s="11">
        <v>6175379</v>
      </c>
      <c r="H11" s="10"/>
      <c r="I11" s="7" t="s">
        <v>41</v>
      </c>
      <c r="J11" s="7"/>
      <c r="K11" s="8">
        <v>104802</v>
      </c>
      <c r="L11" s="7"/>
      <c r="M11" s="10" t="s">
        <v>15</v>
      </c>
      <c r="N11" s="10"/>
      <c r="O11" s="11">
        <v>3155060</v>
      </c>
      <c r="P11" s="10"/>
    </row>
    <row r="12" spans="1:16" x14ac:dyDescent="0.25">
      <c r="A12" s="7" t="s">
        <v>15</v>
      </c>
      <c r="B12" s="7"/>
      <c r="C12" s="8">
        <v>23661280</v>
      </c>
      <c r="D12" s="7"/>
      <c r="E12" s="10" t="s">
        <v>15</v>
      </c>
      <c r="F12" s="10"/>
      <c r="G12" s="11">
        <v>5487839</v>
      </c>
      <c r="H12" s="10"/>
      <c r="I12" s="7" t="s">
        <v>15</v>
      </c>
      <c r="J12" s="7"/>
      <c r="K12" s="8">
        <v>83481</v>
      </c>
      <c r="L12" s="7"/>
      <c r="M12" s="10" t="s">
        <v>38</v>
      </c>
      <c r="N12" s="10"/>
      <c r="O12" s="11">
        <v>1832778</v>
      </c>
      <c r="P12" s="10"/>
    </row>
    <row r="13" spans="1:16" x14ac:dyDescent="0.25">
      <c r="A13" s="7" t="s">
        <v>19</v>
      </c>
      <c r="B13" s="7"/>
      <c r="C13" s="8">
        <v>3286240</v>
      </c>
      <c r="D13" s="7"/>
      <c r="E13" s="10" t="s">
        <v>19</v>
      </c>
      <c r="F13" s="10"/>
      <c r="G13" s="11">
        <v>3286240</v>
      </c>
      <c r="H13" s="10"/>
      <c r="I13" s="7" t="s">
        <v>19</v>
      </c>
      <c r="J13" s="7"/>
      <c r="K13" s="8">
        <v>1874</v>
      </c>
      <c r="L13" s="7"/>
      <c r="M13" s="10" t="s">
        <v>19</v>
      </c>
      <c r="N13" s="10"/>
      <c r="O13" s="11">
        <v>249606</v>
      </c>
      <c r="P13" s="10"/>
    </row>
    <row r="15" spans="1:16" ht="15.75" x14ac:dyDescent="0.3">
      <c r="A15" s="6" t="s">
        <v>43</v>
      </c>
      <c r="B15" s="6"/>
      <c r="C15" s="6" t="s">
        <v>30</v>
      </c>
      <c r="D15" s="6"/>
      <c r="E15" s="12" t="s">
        <v>44</v>
      </c>
      <c r="F15" s="12"/>
      <c r="G15" s="12" t="s">
        <v>32</v>
      </c>
      <c r="H15" s="12"/>
      <c r="I15" s="6" t="s">
        <v>45</v>
      </c>
      <c r="J15" s="6"/>
      <c r="K15" s="6" t="s">
        <v>30</v>
      </c>
      <c r="L15" s="6"/>
      <c r="M15" s="48" t="s">
        <v>70</v>
      </c>
      <c r="N15" s="48"/>
      <c r="O15" s="48" t="s">
        <v>32</v>
      </c>
      <c r="P15" s="48"/>
    </row>
    <row r="16" spans="1:16" x14ac:dyDescent="0.25">
      <c r="A16" s="7" t="s">
        <v>36</v>
      </c>
      <c r="B16" s="7"/>
      <c r="C16" s="8">
        <v>1061978559</v>
      </c>
      <c r="D16" s="7"/>
      <c r="E16" s="10" t="s">
        <v>36</v>
      </c>
      <c r="F16" s="10"/>
      <c r="G16" s="11">
        <v>629087826</v>
      </c>
      <c r="H16" s="10"/>
      <c r="I16" s="7" t="s">
        <v>36</v>
      </c>
      <c r="J16" s="7"/>
      <c r="K16" s="8">
        <v>115864042</v>
      </c>
      <c r="L16" s="7"/>
      <c r="M16" s="46" t="s">
        <v>19</v>
      </c>
      <c r="N16" s="46"/>
      <c r="O16" s="45">
        <v>2545030</v>
      </c>
      <c r="P16" s="45"/>
    </row>
    <row r="17" spans="1:16" x14ac:dyDescent="0.25">
      <c r="A17" s="7" t="s">
        <v>35</v>
      </c>
      <c r="B17" s="7"/>
      <c r="C17" s="8">
        <v>242444139</v>
      </c>
      <c r="D17" s="7"/>
      <c r="E17" s="13" t="s">
        <v>35</v>
      </c>
      <c r="F17" s="10"/>
      <c r="G17" s="11">
        <v>153388917</v>
      </c>
      <c r="H17" s="10"/>
      <c r="I17" s="7" t="s">
        <v>35</v>
      </c>
      <c r="J17" s="7"/>
      <c r="K17" s="8">
        <v>29512344</v>
      </c>
      <c r="L17" s="7"/>
      <c r="M17" s="46" t="s">
        <v>15</v>
      </c>
      <c r="N17" s="46"/>
      <c r="O17" s="45">
        <v>7228891</v>
      </c>
      <c r="P17" s="45"/>
    </row>
    <row r="18" spans="1:16" x14ac:dyDescent="0.25">
      <c r="A18" s="7" t="s">
        <v>23</v>
      </c>
      <c r="B18" s="7"/>
      <c r="C18" s="8">
        <v>225703421</v>
      </c>
      <c r="D18" s="7"/>
      <c r="E18" s="10" t="s">
        <v>25</v>
      </c>
      <c r="F18" s="10"/>
      <c r="G18" s="11">
        <v>128980978</v>
      </c>
      <c r="H18" s="10"/>
      <c r="I18" s="7" t="s">
        <v>23</v>
      </c>
      <c r="J18" s="7"/>
      <c r="K18" s="8">
        <v>28949890</v>
      </c>
      <c r="L18" s="7"/>
      <c r="M18" s="46" t="s">
        <v>38</v>
      </c>
      <c r="N18" s="46"/>
      <c r="O18" s="45">
        <v>10758094</v>
      </c>
      <c r="P18" s="45"/>
    </row>
    <row r="19" spans="1:16" x14ac:dyDescent="0.25">
      <c r="A19" s="7" t="s">
        <v>25</v>
      </c>
      <c r="B19" s="7"/>
      <c r="C19" s="8">
        <v>141663801</v>
      </c>
      <c r="D19" s="7"/>
      <c r="E19" s="10" t="s">
        <v>23</v>
      </c>
      <c r="F19" s="10"/>
      <c r="G19" s="11">
        <v>87342530</v>
      </c>
      <c r="H19" s="10"/>
      <c r="I19" s="7" t="s">
        <v>27</v>
      </c>
      <c r="J19" s="7"/>
      <c r="K19" s="8">
        <v>9615912</v>
      </c>
      <c r="L19" s="7"/>
      <c r="M19" s="10" t="s">
        <v>39</v>
      </c>
      <c r="N19" s="14"/>
      <c r="O19" s="45">
        <v>24534895</v>
      </c>
      <c r="P19" s="45"/>
    </row>
    <row r="20" spans="1:16" x14ac:dyDescent="0.25">
      <c r="A20" s="7" t="s">
        <v>37</v>
      </c>
      <c r="B20" s="7"/>
      <c r="C20" s="8">
        <v>80747052</v>
      </c>
      <c r="D20" s="7"/>
      <c r="E20" s="10" t="s">
        <v>37</v>
      </c>
      <c r="F20" s="10"/>
      <c r="G20" s="11">
        <v>35620311</v>
      </c>
      <c r="H20" s="10"/>
      <c r="I20" s="7" t="s">
        <v>15</v>
      </c>
      <c r="J20" s="7"/>
      <c r="K20" s="8">
        <v>1812652</v>
      </c>
      <c r="L20" s="7"/>
      <c r="M20" s="46" t="s">
        <v>27</v>
      </c>
      <c r="N20" s="46"/>
      <c r="O20" s="45">
        <v>25013313</v>
      </c>
      <c r="P20" s="45"/>
    </row>
    <row r="21" spans="1:16" x14ac:dyDescent="0.25">
      <c r="A21" s="7" t="s">
        <v>38</v>
      </c>
      <c r="B21" s="7"/>
      <c r="C21" s="8">
        <v>33232911</v>
      </c>
      <c r="D21" s="7"/>
      <c r="E21" s="10" t="s">
        <v>38</v>
      </c>
      <c r="F21" s="10"/>
      <c r="G21" s="11">
        <v>29890352</v>
      </c>
      <c r="H21" s="10"/>
      <c r="I21" s="7" t="s">
        <v>37</v>
      </c>
      <c r="J21" s="7"/>
      <c r="K21" s="8">
        <v>1219978</v>
      </c>
      <c r="L21" s="7"/>
      <c r="M21" s="46" t="s">
        <v>37</v>
      </c>
      <c r="N21" s="46"/>
      <c r="O21" s="45">
        <v>44711563</v>
      </c>
      <c r="P21" s="45"/>
    </row>
    <row r="22" spans="1:16" x14ac:dyDescent="0.25">
      <c r="A22" s="7" t="s">
        <v>39</v>
      </c>
      <c r="B22" s="7"/>
      <c r="C22" s="8">
        <v>21211874</v>
      </c>
      <c r="D22" s="7"/>
      <c r="E22" s="10" t="s">
        <v>39</v>
      </c>
      <c r="F22" s="10"/>
      <c r="G22" s="11">
        <v>16105524</v>
      </c>
      <c r="H22" s="10"/>
      <c r="I22" s="7" t="s">
        <v>39</v>
      </c>
      <c r="J22" s="7"/>
      <c r="K22" s="8">
        <v>985851</v>
      </c>
      <c r="L22" s="7"/>
      <c r="M22" s="46" t="s">
        <v>25</v>
      </c>
      <c r="N22" s="46"/>
      <c r="O22" s="45">
        <v>137927183</v>
      </c>
      <c r="P22" s="45"/>
    </row>
    <row r="23" spans="1:16" x14ac:dyDescent="0.25">
      <c r="A23" s="7" t="s">
        <v>27</v>
      </c>
      <c r="B23" s="7"/>
      <c r="C23" s="8">
        <v>18427145</v>
      </c>
      <c r="D23" s="7"/>
      <c r="E23" s="10" t="s">
        <v>15</v>
      </c>
      <c r="F23" s="10"/>
      <c r="G23" s="11">
        <v>14990188</v>
      </c>
      <c r="H23" s="10"/>
      <c r="I23" s="7" t="s">
        <v>25</v>
      </c>
      <c r="J23" s="7"/>
      <c r="K23" s="8">
        <v>374612</v>
      </c>
      <c r="L23" s="7"/>
      <c r="M23" s="47" t="s">
        <v>23</v>
      </c>
      <c r="N23" s="47"/>
      <c r="O23" s="45">
        <v>193061407</v>
      </c>
      <c r="P23" s="45"/>
    </row>
    <row r="24" spans="1:16" x14ac:dyDescent="0.25">
      <c r="A24" s="7" t="s">
        <v>15</v>
      </c>
      <c r="B24" s="7"/>
      <c r="C24" s="8">
        <v>18173441</v>
      </c>
      <c r="D24" s="7"/>
      <c r="E24" s="10" t="s">
        <v>27</v>
      </c>
      <c r="F24" s="10"/>
      <c r="G24" s="11">
        <v>3542871</v>
      </c>
      <c r="H24" s="10"/>
      <c r="I24" s="7" t="s">
        <v>38</v>
      </c>
      <c r="J24" s="7"/>
      <c r="K24" s="8">
        <v>289311</v>
      </c>
      <c r="L24" s="7"/>
      <c r="M24" s="46" t="s">
        <v>35</v>
      </c>
      <c r="N24" s="46"/>
      <c r="O24" s="45">
        <v>271604325</v>
      </c>
      <c r="P24" s="45"/>
    </row>
    <row r="25" spans="1:16" x14ac:dyDescent="0.25">
      <c r="A25" s="7" t="s">
        <v>19</v>
      </c>
      <c r="B25" s="7"/>
      <c r="C25" s="8">
        <v>2571614</v>
      </c>
      <c r="D25" s="7"/>
      <c r="E25" s="10" t="s">
        <v>19</v>
      </c>
      <c r="F25" s="10"/>
      <c r="G25" s="11">
        <v>2216637</v>
      </c>
      <c r="H25" s="10"/>
      <c r="I25" s="7" t="s">
        <v>19</v>
      </c>
      <c r="J25" s="7"/>
      <c r="K25" s="8">
        <v>271125</v>
      </c>
      <c r="L25" s="7"/>
      <c r="M25" s="46" t="s">
        <v>36</v>
      </c>
      <c r="N25" s="46"/>
      <c r="O25" s="45">
        <v>1183696010</v>
      </c>
      <c r="P25" s="45"/>
    </row>
    <row r="27" spans="1:16" x14ac:dyDescent="0.25">
      <c r="A27" s="6" t="s">
        <v>46</v>
      </c>
      <c r="B27" s="6"/>
      <c r="C27" s="6" t="s">
        <v>32</v>
      </c>
      <c r="D27" s="6"/>
      <c r="E27" s="12" t="s">
        <v>47</v>
      </c>
      <c r="F27" s="12"/>
      <c r="G27" s="12" t="s">
        <v>32</v>
      </c>
      <c r="H27" s="12"/>
      <c r="I27" s="6" t="s">
        <v>48</v>
      </c>
      <c r="J27" s="6"/>
      <c r="K27" s="6" t="s">
        <v>32</v>
      </c>
      <c r="L27" s="6"/>
      <c r="M27" s="12" t="s">
        <v>49</v>
      </c>
      <c r="N27" s="12"/>
      <c r="O27" s="12" t="s">
        <v>30</v>
      </c>
      <c r="P27" s="12"/>
    </row>
    <row r="28" spans="1:16" x14ac:dyDescent="0.25">
      <c r="A28" s="7" t="s">
        <v>19</v>
      </c>
      <c r="B28" s="7"/>
      <c r="C28" s="8">
        <v>298132</v>
      </c>
      <c r="D28" s="7"/>
      <c r="E28" s="10" t="s">
        <v>19</v>
      </c>
      <c r="F28" s="10"/>
      <c r="G28" s="11">
        <v>2246898</v>
      </c>
      <c r="H28" s="10"/>
      <c r="I28" s="7" t="s">
        <v>19</v>
      </c>
      <c r="J28" s="7"/>
      <c r="K28" s="8">
        <v>741210</v>
      </c>
      <c r="L28" s="7"/>
      <c r="M28" s="10" t="s">
        <v>35</v>
      </c>
      <c r="N28" s="10"/>
      <c r="O28" s="11">
        <v>210634</v>
      </c>
      <c r="P28" s="14"/>
    </row>
    <row r="29" spans="1:16" x14ac:dyDescent="0.25">
      <c r="A29" s="7" t="s">
        <v>15</v>
      </c>
      <c r="B29" s="7"/>
      <c r="C29" s="8">
        <v>4543264</v>
      </c>
      <c r="D29" s="7"/>
      <c r="E29" s="10" t="s">
        <v>15</v>
      </c>
      <c r="F29" s="10"/>
      <c r="G29" s="11">
        <v>2685627</v>
      </c>
      <c r="H29" s="10"/>
      <c r="I29" s="7" t="s">
        <v>27</v>
      </c>
      <c r="J29" s="7"/>
      <c r="K29" s="8">
        <v>3394528</v>
      </c>
      <c r="L29" s="7"/>
      <c r="M29" s="10" t="s">
        <v>39</v>
      </c>
      <c r="N29" s="10"/>
      <c r="O29" s="11">
        <v>464368</v>
      </c>
      <c r="P29" s="14"/>
    </row>
    <row r="30" spans="1:16" x14ac:dyDescent="0.25">
      <c r="A30" s="7" t="s">
        <v>38</v>
      </c>
      <c r="B30" s="7"/>
      <c r="C30" s="8">
        <v>7849770</v>
      </c>
      <c r="D30" s="7"/>
      <c r="E30" s="10" t="s">
        <v>38</v>
      </c>
      <c r="F30" s="10"/>
      <c r="G30" s="11">
        <v>2908324</v>
      </c>
      <c r="H30" s="10"/>
      <c r="I30" s="7" t="s">
        <v>39</v>
      </c>
      <c r="J30" s="7"/>
      <c r="K30" s="8">
        <v>3620907</v>
      </c>
      <c r="L30" s="7"/>
      <c r="M30" s="10" t="s">
        <v>27</v>
      </c>
      <c r="N30" s="10"/>
      <c r="O30" s="11">
        <v>716175</v>
      </c>
      <c r="P30" s="14"/>
    </row>
    <row r="31" spans="1:16" x14ac:dyDescent="0.25">
      <c r="A31" s="7" t="s">
        <v>39</v>
      </c>
      <c r="B31" s="7"/>
      <c r="C31" s="8">
        <v>8777900</v>
      </c>
      <c r="D31" s="7"/>
      <c r="E31" s="10" t="s">
        <v>27</v>
      </c>
      <c r="F31" s="10"/>
      <c r="G31" s="11">
        <v>15373372</v>
      </c>
      <c r="H31" s="10"/>
      <c r="I31" s="7" t="s">
        <v>15</v>
      </c>
      <c r="J31" s="7"/>
      <c r="K31" s="8">
        <v>16432389</v>
      </c>
      <c r="L31" s="7"/>
      <c r="M31" s="10" t="s">
        <v>38</v>
      </c>
      <c r="N31" s="10"/>
      <c r="O31" s="11">
        <v>910244</v>
      </c>
      <c r="P31" s="14"/>
    </row>
    <row r="32" spans="1:16" x14ac:dyDescent="0.25">
      <c r="A32" s="7" t="s">
        <v>27</v>
      </c>
      <c r="B32" s="7"/>
      <c r="C32" s="8">
        <v>9639941</v>
      </c>
      <c r="D32" s="7"/>
      <c r="E32" s="10" t="s">
        <v>39</v>
      </c>
      <c r="F32" s="10"/>
      <c r="G32" s="11">
        <v>15756995</v>
      </c>
      <c r="H32" s="10"/>
      <c r="I32" s="7" t="s">
        <v>38</v>
      </c>
      <c r="J32" s="7"/>
      <c r="K32" s="8">
        <v>28650196</v>
      </c>
      <c r="L32" s="7"/>
      <c r="M32" s="10" t="s">
        <v>19</v>
      </c>
      <c r="N32" s="10"/>
      <c r="O32" s="11">
        <v>1520954</v>
      </c>
      <c r="P32" s="14"/>
    </row>
    <row r="33" spans="1:16" x14ac:dyDescent="0.25">
      <c r="A33" s="7" t="s">
        <v>37</v>
      </c>
      <c r="B33" s="7"/>
      <c r="C33" s="8">
        <v>25138095</v>
      </c>
      <c r="D33" s="7"/>
      <c r="E33" s="10" t="s">
        <v>37</v>
      </c>
      <c r="F33" s="10"/>
      <c r="G33" s="11">
        <v>19573468</v>
      </c>
      <c r="H33" s="10"/>
      <c r="I33" s="7" t="s">
        <v>25</v>
      </c>
      <c r="J33" s="7"/>
      <c r="K33" s="8">
        <v>46205277</v>
      </c>
      <c r="L33" s="7"/>
      <c r="M33" s="10" t="s">
        <v>15</v>
      </c>
      <c r="N33" s="10"/>
      <c r="O33" s="11">
        <v>1537800</v>
      </c>
      <c r="P33" s="14"/>
    </row>
    <row r="34" spans="1:16" x14ac:dyDescent="0.25">
      <c r="A34" s="7" t="s">
        <v>23</v>
      </c>
      <c r="B34" s="7"/>
      <c r="C34" s="8">
        <v>48952948</v>
      </c>
      <c r="D34" s="7"/>
      <c r="E34" s="10" t="s">
        <v>25</v>
      </c>
      <c r="F34" s="10"/>
      <c r="G34" s="11">
        <v>99993870</v>
      </c>
      <c r="H34" s="10"/>
      <c r="I34" s="7" t="s">
        <v>37</v>
      </c>
      <c r="J34" s="7"/>
      <c r="K34" s="8">
        <v>93117633</v>
      </c>
      <c r="L34" s="7"/>
      <c r="M34" s="10" t="s">
        <v>37</v>
      </c>
      <c r="N34" s="10"/>
      <c r="O34" s="11">
        <v>2643619</v>
      </c>
      <c r="P34" s="14"/>
    </row>
    <row r="35" spans="1:16" x14ac:dyDescent="0.25">
      <c r="A35" s="7" t="s">
        <v>25</v>
      </c>
      <c r="B35" s="7"/>
      <c r="C35" s="8">
        <v>97933313</v>
      </c>
      <c r="D35" s="7"/>
      <c r="E35" s="10" t="s">
        <v>23</v>
      </c>
      <c r="F35" s="10"/>
      <c r="G35" s="11">
        <v>144108459</v>
      </c>
      <c r="H35" s="10"/>
      <c r="I35" s="7" t="s">
        <v>35</v>
      </c>
      <c r="J35" s="7"/>
      <c r="K35" s="8">
        <v>98224035</v>
      </c>
      <c r="L35" s="7"/>
      <c r="M35" s="10" t="s">
        <v>23</v>
      </c>
      <c r="N35" s="10"/>
      <c r="O35" s="11">
        <v>4907765</v>
      </c>
      <c r="P35" s="14"/>
    </row>
    <row r="36" spans="1:16" x14ac:dyDescent="0.25">
      <c r="A36" s="7" t="s">
        <v>35</v>
      </c>
      <c r="B36" s="7"/>
      <c r="C36" s="8">
        <v>112720933</v>
      </c>
      <c r="D36" s="7"/>
      <c r="E36" s="10" t="s">
        <v>35</v>
      </c>
      <c r="F36" s="10"/>
      <c r="G36" s="11">
        <v>158883392</v>
      </c>
      <c r="H36" s="10"/>
      <c r="I36" s="7" t="s">
        <v>23</v>
      </c>
      <c r="J36" s="7"/>
      <c r="K36" s="8">
        <v>104781040</v>
      </c>
      <c r="L36" s="7"/>
      <c r="M36" s="10" t="s">
        <v>25</v>
      </c>
      <c r="N36" s="10"/>
      <c r="O36" s="11">
        <v>5496500</v>
      </c>
      <c r="P36" s="14"/>
    </row>
    <row r="37" spans="1:16" x14ac:dyDescent="0.25">
      <c r="A37" s="7" t="s">
        <v>36</v>
      </c>
      <c r="B37" s="7"/>
      <c r="C37" s="8">
        <v>473415165</v>
      </c>
      <c r="D37" s="7"/>
      <c r="E37" s="10" t="s">
        <v>36</v>
      </c>
      <c r="F37" s="10"/>
      <c r="G37" s="11">
        <v>710280845</v>
      </c>
      <c r="H37" s="10"/>
      <c r="I37" s="7" t="s">
        <v>36</v>
      </c>
      <c r="J37" s="7"/>
      <c r="K37" s="8">
        <v>230195354</v>
      </c>
      <c r="L37" s="7"/>
      <c r="M37" s="10" t="s">
        <v>36</v>
      </c>
      <c r="N37" s="10"/>
      <c r="O37" s="11">
        <v>96338378</v>
      </c>
      <c r="P37" s="14"/>
    </row>
    <row r="39" spans="1:16" x14ac:dyDescent="0.25">
      <c r="A39" s="6" t="s">
        <v>50</v>
      </c>
      <c r="B39" s="6"/>
      <c r="C39" s="6" t="s">
        <v>32</v>
      </c>
      <c r="D39" s="6"/>
      <c r="E39" s="12" t="s">
        <v>51</v>
      </c>
      <c r="F39" s="12"/>
      <c r="G39" s="12" t="s">
        <v>32</v>
      </c>
      <c r="H39" s="12"/>
      <c r="I39" s="6" t="s">
        <v>52</v>
      </c>
      <c r="J39" s="6"/>
      <c r="K39" s="6" t="s">
        <v>32</v>
      </c>
      <c r="L39" s="6"/>
      <c r="M39" s="12" t="s">
        <v>53</v>
      </c>
      <c r="N39" s="12"/>
      <c r="O39" s="12" t="s">
        <v>32</v>
      </c>
      <c r="P39" s="12"/>
    </row>
    <row r="40" spans="1:16" x14ac:dyDescent="0.25">
      <c r="A40" s="7" t="s">
        <v>36</v>
      </c>
      <c r="B40" s="7"/>
      <c r="C40" s="8">
        <v>1020819835</v>
      </c>
      <c r="D40" s="7"/>
      <c r="E40" s="10" t="s">
        <v>36</v>
      </c>
      <c r="F40" s="10"/>
      <c r="G40" s="11">
        <v>635827234</v>
      </c>
      <c r="H40" s="10"/>
      <c r="I40" s="7" t="s">
        <v>36</v>
      </c>
      <c r="J40" s="7"/>
      <c r="K40" s="8">
        <v>97345791</v>
      </c>
      <c r="L40" s="7"/>
      <c r="M40" s="10" t="s">
        <v>36</v>
      </c>
      <c r="N40" s="10"/>
      <c r="O40" s="11">
        <v>50462937</v>
      </c>
      <c r="P40" s="10"/>
    </row>
    <row r="41" spans="1:16" x14ac:dyDescent="0.25">
      <c r="A41" s="7" t="s">
        <v>35</v>
      </c>
      <c r="B41" s="7"/>
      <c r="C41" s="8">
        <v>366432032</v>
      </c>
      <c r="D41" s="7"/>
      <c r="E41" s="10" t="s">
        <v>35</v>
      </c>
      <c r="F41" s="10"/>
      <c r="G41" s="11">
        <v>292573889</v>
      </c>
      <c r="H41" s="10"/>
      <c r="I41" s="7" t="s">
        <v>54</v>
      </c>
      <c r="J41" s="7"/>
      <c r="K41" s="8">
        <v>27087782</v>
      </c>
      <c r="L41" s="7"/>
      <c r="M41" s="10" t="s">
        <v>35</v>
      </c>
      <c r="N41" s="10"/>
      <c r="O41" s="11">
        <v>17960478</v>
      </c>
      <c r="P41" s="10"/>
    </row>
    <row r="42" spans="1:16" x14ac:dyDescent="0.25">
      <c r="A42" s="7" t="s">
        <v>23</v>
      </c>
      <c r="B42" s="7"/>
      <c r="C42" s="8">
        <v>101282333</v>
      </c>
      <c r="D42" s="7"/>
      <c r="E42" s="10" t="s">
        <v>37</v>
      </c>
      <c r="F42" s="10"/>
      <c r="G42" s="11">
        <v>68021288</v>
      </c>
      <c r="H42" s="10"/>
      <c r="I42" s="7" t="s">
        <v>23</v>
      </c>
      <c r="J42" s="7"/>
      <c r="K42" s="8">
        <v>12005774</v>
      </c>
      <c r="L42" s="7"/>
      <c r="M42" s="10" t="s">
        <v>37</v>
      </c>
      <c r="N42" s="10"/>
      <c r="O42" s="11">
        <v>10184085</v>
      </c>
      <c r="P42" s="10"/>
    </row>
    <row r="43" spans="1:16" x14ac:dyDescent="0.25">
      <c r="A43" s="7" t="s">
        <v>37</v>
      </c>
      <c r="B43" s="7"/>
      <c r="C43" s="8">
        <v>96639833</v>
      </c>
      <c r="D43" s="7"/>
      <c r="E43" s="10" t="s">
        <v>25</v>
      </c>
      <c r="F43" s="10"/>
      <c r="G43" s="11">
        <v>65841333</v>
      </c>
      <c r="H43" s="10"/>
      <c r="I43" s="7" t="s">
        <v>37</v>
      </c>
      <c r="J43" s="7"/>
      <c r="K43" s="8">
        <v>11561688</v>
      </c>
      <c r="L43" s="7"/>
      <c r="M43" s="10" t="s">
        <v>23</v>
      </c>
      <c r="N43" s="10"/>
      <c r="O43" s="11">
        <v>7615270</v>
      </c>
      <c r="P43" s="10"/>
    </row>
    <row r="44" spans="1:16" x14ac:dyDescent="0.25">
      <c r="A44" s="7" t="s">
        <v>25</v>
      </c>
      <c r="B44" s="7"/>
      <c r="C44" s="8">
        <v>95800704</v>
      </c>
      <c r="D44" s="7"/>
      <c r="E44" s="10" t="s">
        <v>23</v>
      </c>
      <c r="F44" s="10"/>
      <c r="G44" s="11">
        <v>57839268</v>
      </c>
      <c r="H44" s="10"/>
      <c r="I44" s="7" t="s">
        <v>38</v>
      </c>
      <c r="J44" s="7"/>
      <c r="K44" s="8">
        <v>6121745</v>
      </c>
      <c r="L44" s="7"/>
      <c r="M44" s="10" t="s">
        <v>38</v>
      </c>
      <c r="N44" s="10"/>
      <c r="O44" s="11">
        <v>4774957</v>
      </c>
      <c r="P44" s="10"/>
    </row>
    <row r="45" spans="1:16" x14ac:dyDescent="0.25">
      <c r="A45" s="7" t="s">
        <v>38</v>
      </c>
      <c r="B45" s="7"/>
      <c r="C45" s="8">
        <v>19535001</v>
      </c>
      <c r="D45" s="7"/>
      <c r="E45" s="10" t="s">
        <v>27</v>
      </c>
      <c r="F45" s="10"/>
      <c r="G45" s="11">
        <v>10950328</v>
      </c>
      <c r="H45" s="10"/>
      <c r="I45" s="7" t="s">
        <v>15</v>
      </c>
      <c r="J45" s="7"/>
      <c r="K45" s="8">
        <v>1367226</v>
      </c>
      <c r="L45" s="7"/>
      <c r="M45" s="10" t="s">
        <v>39</v>
      </c>
      <c r="N45" s="10"/>
      <c r="O45" s="11">
        <v>1094678</v>
      </c>
      <c r="P45" s="10"/>
    </row>
    <row r="46" spans="1:16" x14ac:dyDescent="0.25">
      <c r="A46" s="7" t="s">
        <v>27</v>
      </c>
      <c r="B46" s="7"/>
      <c r="C46" s="8">
        <v>14534311</v>
      </c>
      <c r="D46" s="7"/>
      <c r="E46" s="10" t="s">
        <v>15</v>
      </c>
      <c r="F46" s="10"/>
      <c r="G46" s="11">
        <v>8778509</v>
      </c>
      <c r="H46" s="10"/>
      <c r="I46" s="7" t="s">
        <v>27</v>
      </c>
      <c r="J46" s="7"/>
      <c r="K46" s="8">
        <v>287862</v>
      </c>
      <c r="L46" s="7"/>
      <c r="M46" s="10" t="s">
        <v>15</v>
      </c>
      <c r="N46" s="10"/>
      <c r="O46" s="11">
        <v>1062045</v>
      </c>
      <c r="P46" s="10"/>
    </row>
    <row r="47" spans="1:16" x14ac:dyDescent="0.25">
      <c r="A47" s="7" t="s">
        <v>15</v>
      </c>
      <c r="B47" s="7"/>
      <c r="C47" s="8">
        <v>13392428</v>
      </c>
      <c r="D47" s="7"/>
      <c r="E47" s="10" t="s">
        <v>39</v>
      </c>
      <c r="F47" s="10"/>
      <c r="G47" s="11">
        <v>6290978</v>
      </c>
      <c r="H47" s="10"/>
      <c r="I47" s="7" t="s">
        <v>19</v>
      </c>
      <c r="J47" s="7"/>
      <c r="K47" s="8">
        <v>-286657</v>
      </c>
      <c r="L47" s="7"/>
      <c r="M47" s="10" t="s">
        <v>19</v>
      </c>
      <c r="N47" s="10"/>
      <c r="O47" s="11">
        <v>-315329</v>
      </c>
      <c r="P47" s="10"/>
    </row>
    <row r="48" spans="1:16" x14ac:dyDescent="0.25">
      <c r="A48" s="7" t="s">
        <v>39</v>
      </c>
      <c r="B48" s="7"/>
      <c r="C48" s="8">
        <v>12788484</v>
      </c>
      <c r="D48" s="7"/>
      <c r="E48" s="10" t="s">
        <v>38</v>
      </c>
      <c r="F48" s="10"/>
      <c r="G48" s="11">
        <v>5043944</v>
      </c>
      <c r="H48" s="10"/>
      <c r="I48" s="7" t="s">
        <v>39</v>
      </c>
      <c r="J48" s="7"/>
      <c r="K48" s="8">
        <v>-969323</v>
      </c>
      <c r="L48" s="7"/>
      <c r="M48" s="10" t="s">
        <v>27</v>
      </c>
      <c r="N48" s="10"/>
      <c r="O48" s="11">
        <v>-651750</v>
      </c>
      <c r="P48" s="10"/>
    </row>
    <row r="49" spans="1:16" x14ac:dyDescent="0.25">
      <c r="A49" s="7" t="s">
        <v>19</v>
      </c>
      <c r="B49" s="7"/>
      <c r="C49" s="8">
        <v>1315245</v>
      </c>
      <c r="D49" s="7"/>
      <c r="E49" s="10" t="s">
        <v>19</v>
      </c>
      <c r="F49" s="10"/>
      <c r="G49" s="11">
        <v>597314</v>
      </c>
      <c r="H49" s="10"/>
      <c r="I49" s="7" t="s">
        <v>25</v>
      </c>
      <c r="J49" s="7"/>
      <c r="K49" s="8">
        <v>-4013270</v>
      </c>
      <c r="L49" s="7"/>
      <c r="M49" s="10" t="s">
        <v>25</v>
      </c>
      <c r="N49" s="10"/>
      <c r="O49" s="11">
        <v>-4016738</v>
      </c>
      <c r="P49" s="10"/>
    </row>
    <row r="52" spans="1:16" x14ac:dyDescent="0.25">
      <c r="D52" s="1"/>
      <c r="E52" s="1"/>
      <c r="F52" s="1"/>
      <c r="G52" s="1"/>
      <c r="H52" s="1"/>
      <c r="I52" s="1"/>
      <c r="J52" s="1"/>
      <c r="K52" s="1"/>
      <c r="L52" s="1"/>
      <c r="M52" s="1"/>
      <c r="N52" s="1"/>
      <c r="O52" s="1"/>
      <c r="P52" s="1"/>
    </row>
    <row r="53" spans="1:16" x14ac:dyDescent="0.25">
      <c r="D53" s="1"/>
      <c r="E53" s="1"/>
      <c r="F53" s="1"/>
      <c r="G53" s="1"/>
      <c r="H53" s="1"/>
      <c r="I53" s="1"/>
      <c r="J53" s="1"/>
      <c r="K53" s="1"/>
      <c r="L53" s="1"/>
      <c r="M53" s="1"/>
      <c r="N53" s="1"/>
      <c r="O53" s="1"/>
      <c r="P53" s="1"/>
    </row>
    <row r="54" spans="1:16" x14ac:dyDescent="0.25">
      <c r="D54" s="1"/>
      <c r="E54" s="1"/>
      <c r="F54" s="1"/>
      <c r="G54" s="1"/>
      <c r="H54" s="1"/>
      <c r="I54" s="1"/>
      <c r="J54" s="1"/>
      <c r="K54" s="1"/>
      <c r="L54" s="1"/>
      <c r="M54" s="1"/>
      <c r="N54" s="1"/>
      <c r="O54" s="1"/>
      <c r="P54" s="1"/>
    </row>
    <row r="55" spans="1:16" x14ac:dyDescent="0.25">
      <c r="D55" s="1"/>
      <c r="E55" s="1"/>
      <c r="F55" s="1"/>
      <c r="G55" s="1"/>
      <c r="H55" s="1"/>
      <c r="J55" s="1"/>
      <c r="K55" s="1"/>
      <c r="L55" s="1"/>
      <c r="M55" s="1"/>
      <c r="N55" s="1"/>
      <c r="O55" s="1"/>
      <c r="P55" s="1"/>
    </row>
    <row r="56" spans="1:16" x14ac:dyDescent="0.25">
      <c r="D56" s="1"/>
      <c r="E56" s="1"/>
      <c r="F56" s="1"/>
      <c r="G56" s="1"/>
      <c r="H56" s="1"/>
      <c r="I56" s="1"/>
      <c r="J56" s="1"/>
      <c r="K56" s="1"/>
      <c r="L56" s="1"/>
      <c r="M56" s="1"/>
      <c r="N56" s="1"/>
      <c r="O56" s="1"/>
      <c r="P56" s="1"/>
    </row>
    <row r="57" spans="1:16" x14ac:dyDescent="0.25">
      <c r="D57" s="1"/>
      <c r="E57" s="1"/>
      <c r="F57" s="1"/>
      <c r="G57" s="1"/>
      <c r="H57" s="1"/>
      <c r="I57" s="1"/>
      <c r="J57" s="1"/>
      <c r="K57" s="1"/>
      <c r="L57" s="1"/>
      <c r="M57" s="1"/>
      <c r="N57" s="1"/>
      <c r="O57" s="1"/>
      <c r="P57" s="1"/>
    </row>
    <row r="58" spans="1:16" x14ac:dyDescent="0.25">
      <c r="D58" s="1"/>
      <c r="E58" s="1"/>
      <c r="F58" s="1"/>
      <c r="G58" s="1"/>
      <c r="H58" s="1"/>
      <c r="I58" s="1"/>
    </row>
    <row r="59" spans="1:16" x14ac:dyDescent="0.25">
      <c r="D59" s="1"/>
      <c r="E59" s="1"/>
      <c r="F59" s="1"/>
      <c r="G59" s="1"/>
      <c r="H59" s="1"/>
    </row>
    <row r="60" spans="1:16" x14ac:dyDescent="0.25">
      <c r="D60" s="1"/>
      <c r="E60" s="1"/>
      <c r="F60" s="1"/>
      <c r="G60" s="1"/>
      <c r="H60" s="1"/>
      <c r="I60" s="1"/>
    </row>
    <row r="61" spans="1:16" x14ac:dyDescent="0.25">
      <c r="D61" s="1"/>
      <c r="E61" s="1"/>
      <c r="F61" s="1"/>
      <c r="G61" s="1"/>
      <c r="H61" s="1"/>
      <c r="I61" s="1"/>
    </row>
    <row r="62" spans="1:16" x14ac:dyDescent="0.25">
      <c r="D62" s="1"/>
      <c r="E62" s="1"/>
      <c r="F62" s="1"/>
      <c r="G62" s="1"/>
      <c r="H62" s="1"/>
      <c r="I62" s="1"/>
    </row>
    <row r="63" spans="1:16" x14ac:dyDescent="0.25">
      <c r="D63" s="1"/>
      <c r="E63" s="1"/>
      <c r="F63" s="1"/>
      <c r="G63" s="1"/>
      <c r="H63" s="1"/>
      <c r="I63" s="1"/>
    </row>
  </sheetData>
  <mergeCells count="21">
    <mergeCell ref="M15:N15"/>
    <mergeCell ref="M16:N16"/>
    <mergeCell ref="M17:N17"/>
    <mergeCell ref="M18:N18"/>
    <mergeCell ref="M20:N20"/>
    <mergeCell ref="O15:P15"/>
    <mergeCell ref="O16:P16"/>
    <mergeCell ref="O17:P17"/>
    <mergeCell ref="O18:P18"/>
    <mergeCell ref="O19:P19"/>
    <mergeCell ref="O25:P25"/>
    <mergeCell ref="M21:N21"/>
    <mergeCell ref="M22:N22"/>
    <mergeCell ref="M23:N23"/>
    <mergeCell ref="M24:N24"/>
    <mergeCell ref="M25:N25"/>
    <mergeCell ref="O20:P20"/>
    <mergeCell ref="O21:P21"/>
    <mergeCell ref="O22:P22"/>
    <mergeCell ref="O23:P23"/>
    <mergeCell ref="O24:P24"/>
  </mergeCell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76"/>
  <sheetViews>
    <sheetView showGridLines="0" topLeftCell="A97" zoomScale="90" zoomScaleNormal="90" workbookViewId="0">
      <selection activeCell="D116" sqref="D116"/>
    </sheetView>
  </sheetViews>
  <sheetFormatPr baseColWidth="10" defaultRowHeight="15" x14ac:dyDescent="0.25"/>
  <cols>
    <col min="3" max="3" width="28.7109375" bestFit="1" customWidth="1"/>
    <col min="8" max="8" width="27.42578125" bestFit="1" customWidth="1"/>
    <col min="13" max="13" width="28.7109375" bestFit="1" customWidth="1"/>
  </cols>
  <sheetData>
    <row r="1" spans="1:21" ht="15.75" x14ac:dyDescent="0.3">
      <c r="A1" s="76" t="s">
        <v>55</v>
      </c>
      <c r="B1" s="76"/>
      <c r="C1" s="76" t="s">
        <v>8</v>
      </c>
      <c r="D1" s="76"/>
      <c r="E1" s="76" t="s">
        <v>56</v>
      </c>
      <c r="F1" s="76"/>
      <c r="G1" s="76" t="s">
        <v>57</v>
      </c>
      <c r="H1" s="76"/>
      <c r="I1" s="76"/>
      <c r="J1" s="76"/>
      <c r="K1" s="76" t="s">
        <v>58</v>
      </c>
      <c r="L1" s="76"/>
      <c r="M1" s="76"/>
      <c r="N1" s="76"/>
      <c r="O1" s="76"/>
      <c r="P1" s="76" t="s">
        <v>59</v>
      </c>
      <c r="Q1" s="76"/>
      <c r="R1" s="76"/>
      <c r="S1" s="76"/>
      <c r="T1" s="76"/>
      <c r="U1" s="76"/>
    </row>
    <row r="2" spans="1:21" ht="15.75" customHeight="1" x14ac:dyDescent="0.25">
      <c r="A2" s="79" t="s">
        <v>66</v>
      </c>
      <c r="B2" s="79"/>
      <c r="C2" s="61" t="s">
        <v>35</v>
      </c>
      <c r="D2" s="61"/>
      <c r="E2" s="67">
        <f>(Datos!G5)/(Datos!C36)</f>
        <v>1.1300848707488964</v>
      </c>
      <c r="F2" s="67"/>
      <c r="G2" s="72" t="s">
        <v>61</v>
      </c>
      <c r="H2" s="74"/>
      <c r="I2" s="74"/>
      <c r="J2" s="74"/>
      <c r="K2" s="77" t="s">
        <v>64</v>
      </c>
      <c r="L2" s="77"/>
      <c r="M2" s="77"/>
      <c r="N2" s="77"/>
      <c r="O2" s="77"/>
      <c r="P2" s="78"/>
      <c r="Q2" s="78"/>
      <c r="R2" s="78"/>
      <c r="S2" s="78"/>
      <c r="T2" s="78"/>
      <c r="U2" s="78"/>
    </row>
    <row r="3" spans="1:21" ht="15" customHeight="1" x14ac:dyDescent="0.25">
      <c r="A3" s="79"/>
      <c r="B3" s="79"/>
      <c r="C3" s="61" t="s">
        <v>36</v>
      </c>
      <c r="D3" s="61"/>
      <c r="E3" s="67">
        <f>(Datos!G4)/(Datos!C37)</f>
        <v>0.74334924399813007</v>
      </c>
      <c r="F3" s="67"/>
      <c r="G3" s="74"/>
      <c r="H3" s="74"/>
      <c r="I3" s="74"/>
      <c r="J3" s="74"/>
      <c r="K3" s="77"/>
      <c r="L3" s="77"/>
      <c r="M3" s="77"/>
      <c r="N3" s="77"/>
      <c r="O3" s="77"/>
      <c r="P3" s="78"/>
      <c r="Q3" s="78"/>
      <c r="R3" s="78"/>
      <c r="S3" s="78"/>
      <c r="T3" s="78"/>
      <c r="U3" s="78"/>
    </row>
    <row r="4" spans="1:21" ht="15" customHeight="1" x14ac:dyDescent="0.25">
      <c r="A4" s="79"/>
      <c r="B4" s="79"/>
      <c r="C4" s="61" t="s">
        <v>39</v>
      </c>
      <c r="D4" s="61"/>
      <c r="E4" s="67">
        <f>(Datos!G10)/Datos!C31</f>
        <v>0.79106939017304823</v>
      </c>
      <c r="F4" s="67"/>
      <c r="G4" s="74"/>
      <c r="H4" s="74"/>
      <c r="I4" s="74"/>
      <c r="J4" s="74"/>
      <c r="K4" s="77"/>
      <c r="L4" s="77"/>
      <c r="M4" s="77"/>
      <c r="N4" s="77"/>
      <c r="O4" s="77"/>
      <c r="P4" s="78"/>
      <c r="Q4" s="78"/>
      <c r="R4" s="78"/>
      <c r="S4" s="78"/>
      <c r="T4" s="78"/>
      <c r="U4" s="78"/>
    </row>
    <row r="5" spans="1:21" ht="15" customHeight="1" x14ac:dyDescent="0.25">
      <c r="A5" s="79"/>
      <c r="B5" s="79"/>
      <c r="C5" s="61" t="s">
        <v>15</v>
      </c>
      <c r="D5" s="61"/>
      <c r="E5" s="67">
        <f>(Datos!G12)/(Datos!C29)</f>
        <v>1.2079066943941625</v>
      </c>
      <c r="F5" s="67"/>
      <c r="G5" s="74"/>
      <c r="H5" s="74"/>
      <c r="I5" s="74"/>
      <c r="J5" s="74"/>
      <c r="K5" s="77"/>
      <c r="L5" s="77"/>
      <c r="M5" s="77"/>
      <c r="N5" s="77"/>
      <c r="O5" s="77"/>
      <c r="P5" s="78"/>
      <c r="Q5" s="78"/>
      <c r="R5" s="78"/>
      <c r="S5" s="78"/>
      <c r="T5" s="78"/>
      <c r="U5" s="78"/>
    </row>
    <row r="6" spans="1:21" ht="15" customHeight="1" x14ac:dyDescent="0.25">
      <c r="A6" s="79"/>
      <c r="B6" s="79"/>
      <c r="C6" s="61" t="s">
        <v>37</v>
      </c>
      <c r="D6" s="61"/>
      <c r="E6" s="67">
        <f>(Datos!G7)/(Datos!C33)</f>
        <v>2.2731294475575816</v>
      </c>
      <c r="F6" s="67"/>
      <c r="G6" s="74"/>
      <c r="H6" s="74"/>
      <c r="I6" s="74"/>
      <c r="J6" s="74"/>
      <c r="K6" s="77"/>
      <c r="L6" s="77"/>
      <c r="M6" s="77"/>
      <c r="N6" s="77"/>
      <c r="O6" s="77"/>
      <c r="P6" s="78"/>
      <c r="Q6" s="78"/>
      <c r="R6" s="78"/>
      <c r="S6" s="78"/>
      <c r="T6" s="78"/>
      <c r="U6" s="78"/>
    </row>
    <row r="7" spans="1:21" ht="15" customHeight="1" x14ac:dyDescent="0.25">
      <c r="A7" s="79"/>
      <c r="B7" s="79"/>
      <c r="C7" s="61" t="s">
        <v>19</v>
      </c>
      <c r="D7" s="61"/>
      <c r="E7" s="67">
        <f>(Datos!G13)/(Datos!C28)</f>
        <v>11.022768438141494</v>
      </c>
      <c r="F7" s="67"/>
      <c r="G7" s="74"/>
      <c r="H7" s="74"/>
      <c r="I7" s="74"/>
      <c r="J7" s="74"/>
      <c r="K7" s="49" t="s">
        <v>65</v>
      </c>
      <c r="L7" s="50"/>
      <c r="M7" s="50"/>
      <c r="N7" s="50"/>
      <c r="O7" s="50"/>
      <c r="P7" s="78"/>
      <c r="Q7" s="78"/>
      <c r="R7" s="78"/>
      <c r="S7" s="78"/>
      <c r="T7" s="78"/>
      <c r="U7" s="78"/>
    </row>
    <row r="8" spans="1:21" ht="15" customHeight="1" x14ac:dyDescent="0.25">
      <c r="A8" s="79"/>
      <c r="B8" s="79"/>
      <c r="C8" s="61" t="s">
        <v>38</v>
      </c>
      <c r="D8" s="61"/>
      <c r="E8" s="67">
        <f>(Datos!G11)/(Datos!C30)</f>
        <v>0.78669553375449219</v>
      </c>
      <c r="F8" s="67"/>
      <c r="G8" s="74"/>
      <c r="H8" s="74"/>
      <c r="I8" s="74"/>
      <c r="J8" s="74"/>
      <c r="K8" s="50"/>
      <c r="L8" s="50"/>
      <c r="M8" s="50"/>
      <c r="N8" s="50"/>
      <c r="O8" s="50"/>
      <c r="P8" s="78"/>
      <c r="Q8" s="78"/>
      <c r="R8" s="78"/>
      <c r="S8" s="78"/>
      <c r="T8" s="78"/>
      <c r="U8" s="78"/>
    </row>
    <row r="9" spans="1:21" ht="15" customHeight="1" x14ac:dyDescent="0.25">
      <c r="A9" s="79"/>
      <c r="B9" s="79"/>
      <c r="C9" s="61" t="s">
        <v>23</v>
      </c>
      <c r="D9" s="62"/>
      <c r="E9" s="67">
        <f>(Datos!G6)/(Datos!C34)</f>
        <v>1.4736400757723518</v>
      </c>
      <c r="F9" s="67"/>
      <c r="G9" s="74"/>
      <c r="H9" s="74"/>
      <c r="I9" s="74"/>
      <c r="J9" s="74"/>
      <c r="K9" s="50"/>
      <c r="L9" s="50"/>
      <c r="M9" s="50"/>
      <c r="N9" s="50"/>
      <c r="O9" s="50"/>
      <c r="P9" s="78"/>
      <c r="Q9" s="78"/>
      <c r="R9" s="78"/>
      <c r="S9" s="78"/>
      <c r="T9" s="78"/>
      <c r="U9" s="78"/>
    </row>
    <row r="10" spans="1:21" ht="15" customHeight="1" x14ac:dyDescent="0.25">
      <c r="A10" s="79"/>
      <c r="B10" s="79"/>
      <c r="C10" s="61" t="s">
        <v>25</v>
      </c>
      <c r="D10" s="61"/>
      <c r="E10" s="67">
        <f>(Datos!G8)/(Datos!C35)</f>
        <v>0.4336490587222348</v>
      </c>
      <c r="F10" s="67"/>
      <c r="G10" s="74"/>
      <c r="H10" s="74"/>
      <c r="I10" s="74"/>
      <c r="J10" s="74"/>
      <c r="K10" s="50"/>
      <c r="L10" s="50"/>
      <c r="M10" s="50"/>
      <c r="N10" s="50"/>
      <c r="O10" s="50"/>
      <c r="P10" s="78"/>
      <c r="Q10" s="78"/>
      <c r="R10" s="78"/>
      <c r="S10" s="78"/>
      <c r="T10" s="78"/>
      <c r="U10" s="78"/>
    </row>
    <row r="11" spans="1:21" x14ac:dyDescent="0.25">
      <c r="A11" s="79"/>
      <c r="B11" s="79"/>
      <c r="C11" s="61" t="s">
        <v>27</v>
      </c>
      <c r="D11" s="61"/>
      <c r="E11" s="67">
        <f>(Datos!G9)/(Datos!C32)</f>
        <v>1.0353482453886389</v>
      </c>
      <c r="F11" s="67"/>
      <c r="G11" s="74"/>
      <c r="H11" s="74"/>
      <c r="I11" s="74"/>
      <c r="J11" s="74"/>
      <c r="K11" s="50"/>
      <c r="L11" s="50"/>
      <c r="M11" s="50"/>
      <c r="N11" s="50"/>
      <c r="O11" s="50"/>
      <c r="P11" s="78"/>
      <c r="Q11" s="78"/>
      <c r="R11" s="78"/>
      <c r="S11" s="78"/>
      <c r="T11" s="78"/>
      <c r="U11" s="78"/>
    </row>
    <row r="12" spans="1:21" x14ac:dyDescent="0.25">
      <c r="A12" s="53" t="s">
        <v>67</v>
      </c>
      <c r="B12" s="81"/>
      <c r="C12" s="51" t="s">
        <v>35</v>
      </c>
      <c r="D12" s="51"/>
      <c r="E12" s="75">
        <f>(Datos!G5-Datos!K4)/Datos!C36</f>
        <v>0.67062771739123206</v>
      </c>
      <c r="F12" s="75"/>
      <c r="G12" s="80" t="s">
        <v>62</v>
      </c>
      <c r="H12" s="71"/>
      <c r="I12" s="71"/>
      <c r="J12" s="71"/>
      <c r="K12" s="56" t="s">
        <v>60</v>
      </c>
      <c r="L12" s="64"/>
      <c r="M12" s="64"/>
      <c r="N12" s="64"/>
      <c r="O12" s="64"/>
    </row>
    <row r="13" spans="1:21" x14ac:dyDescent="0.25">
      <c r="A13" s="81"/>
      <c r="B13" s="81"/>
      <c r="C13" s="51" t="s">
        <v>36</v>
      </c>
      <c r="D13" s="51"/>
      <c r="E13" s="75">
        <f>(Datos!G4-Datos!K5)/Datos!C37</f>
        <v>0.65836366057263929</v>
      </c>
      <c r="F13" s="75"/>
      <c r="G13" s="71"/>
      <c r="H13" s="71"/>
      <c r="I13" s="71"/>
      <c r="J13" s="71"/>
      <c r="K13" s="64"/>
      <c r="L13" s="64"/>
      <c r="M13" s="64"/>
      <c r="N13" s="64"/>
      <c r="O13" s="64"/>
    </row>
    <row r="14" spans="1:21" x14ac:dyDescent="0.25">
      <c r="A14" s="81"/>
      <c r="B14" s="81"/>
      <c r="C14" s="51" t="s">
        <v>39</v>
      </c>
      <c r="D14" s="51"/>
      <c r="E14" s="75">
        <f>(Datos!G10-Datos!K11)/Datos!C31</f>
        <v>0.77913008806206496</v>
      </c>
      <c r="F14" s="75"/>
      <c r="G14" s="71"/>
      <c r="H14" s="71"/>
      <c r="I14" s="71"/>
      <c r="J14" s="71"/>
      <c r="K14" s="64"/>
      <c r="L14" s="64"/>
      <c r="M14" s="64"/>
      <c r="N14" s="64"/>
      <c r="O14" s="64"/>
    </row>
    <row r="15" spans="1:21" x14ac:dyDescent="0.25">
      <c r="A15" s="81"/>
      <c r="B15" s="81"/>
      <c r="C15" s="51" t="s">
        <v>15</v>
      </c>
      <c r="D15" s="51"/>
      <c r="E15" s="75">
        <f>(Datos!G12-Datos!K12)/Datos!C29</f>
        <v>1.189532019270727</v>
      </c>
      <c r="F15" s="75"/>
      <c r="G15" s="71"/>
      <c r="H15" s="71"/>
      <c r="I15" s="71"/>
      <c r="J15" s="71"/>
      <c r="K15" s="64"/>
      <c r="L15" s="64"/>
      <c r="M15" s="64"/>
      <c r="N15" s="64"/>
      <c r="O15" s="64"/>
    </row>
    <row r="16" spans="1:21" x14ac:dyDescent="0.25">
      <c r="A16" s="81"/>
      <c r="B16" s="81"/>
      <c r="C16" s="51" t="s">
        <v>37</v>
      </c>
      <c r="D16" s="51"/>
      <c r="E16" s="75">
        <f>(Datos!G7-Datos!K6)/Datos!C33</f>
        <v>1.5664484520406181</v>
      </c>
      <c r="F16" s="75"/>
      <c r="G16" s="71"/>
      <c r="H16" s="71"/>
      <c r="I16" s="71"/>
      <c r="J16" s="71"/>
      <c r="K16" s="64"/>
      <c r="L16" s="64"/>
      <c r="M16" s="64"/>
      <c r="N16" s="64"/>
      <c r="O16" s="64"/>
    </row>
    <row r="17" spans="1:15" x14ac:dyDescent="0.25">
      <c r="A17" s="81"/>
      <c r="B17" s="81"/>
      <c r="C17" s="51" t="s">
        <v>19</v>
      </c>
      <c r="D17" s="51"/>
      <c r="E17" s="75">
        <f>(Datos!G13-Datos!K14)/Datos!C28</f>
        <v>11.022768438141494</v>
      </c>
      <c r="F17" s="75"/>
      <c r="G17" s="71"/>
      <c r="H17" s="71"/>
      <c r="I17" s="71"/>
      <c r="J17" s="71"/>
      <c r="K17" s="49" t="s">
        <v>63</v>
      </c>
      <c r="L17" s="50"/>
      <c r="M17" s="50"/>
      <c r="N17" s="50"/>
      <c r="O17" s="50"/>
    </row>
    <row r="18" spans="1:15" x14ac:dyDescent="0.25">
      <c r="A18" s="81"/>
      <c r="B18" s="81"/>
      <c r="C18" s="51" t="s">
        <v>38</v>
      </c>
      <c r="D18" s="51"/>
      <c r="E18" s="75">
        <f>(Datos!G11-Datos!K10)/Datos!C30</f>
        <v>0.70977519086546481</v>
      </c>
      <c r="F18" s="75"/>
      <c r="G18" s="71"/>
      <c r="H18" s="71"/>
      <c r="I18" s="71"/>
      <c r="J18" s="71"/>
      <c r="K18" s="50"/>
      <c r="L18" s="50"/>
      <c r="M18" s="50"/>
      <c r="N18" s="50"/>
      <c r="O18" s="50"/>
    </row>
    <row r="19" spans="1:15" x14ac:dyDescent="0.25">
      <c r="A19" s="81"/>
      <c r="B19" s="81"/>
      <c r="C19" s="51" t="s">
        <v>23</v>
      </c>
      <c r="D19" s="52"/>
      <c r="E19" s="75">
        <f>(Datos!G8-Datos!K9)/Datos!C34</f>
        <v>0.84657334630796899</v>
      </c>
      <c r="F19" s="75"/>
      <c r="G19" s="71"/>
      <c r="H19" s="71"/>
      <c r="I19" s="71"/>
      <c r="J19" s="71"/>
      <c r="K19" s="50"/>
      <c r="L19" s="50"/>
      <c r="M19" s="50"/>
      <c r="N19" s="50"/>
      <c r="O19" s="50"/>
    </row>
    <row r="20" spans="1:15" x14ac:dyDescent="0.25">
      <c r="A20" s="81"/>
      <c r="B20" s="81"/>
      <c r="C20" s="51" t="s">
        <v>25</v>
      </c>
      <c r="D20" s="51"/>
      <c r="E20" s="75">
        <f>(Datos!G8-Datos!K8)/Datos!C35</f>
        <v>0.42079168709425768</v>
      </c>
      <c r="F20" s="75"/>
      <c r="G20" s="71"/>
      <c r="H20" s="71"/>
      <c r="I20" s="71"/>
      <c r="J20" s="71"/>
      <c r="K20" s="50"/>
      <c r="L20" s="50"/>
      <c r="M20" s="50"/>
      <c r="N20" s="50"/>
      <c r="O20" s="50"/>
    </row>
    <row r="21" spans="1:15" x14ac:dyDescent="0.25">
      <c r="A21" s="81"/>
      <c r="B21" s="81"/>
      <c r="C21" s="51" t="s">
        <v>27</v>
      </c>
      <c r="D21" s="51"/>
      <c r="E21" s="75">
        <f>(Datos!G9-Datos!K7)/Datos!C32</f>
        <v>0.72505495624921357</v>
      </c>
      <c r="F21" s="75"/>
      <c r="G21" s="71"/>
      <c r="H21" s="71"/>
      <c r="I21" s="71"/>
      <c r="J21" s="71"/>
      <c r="K21" s="50"/>
      <c r="L21" s="50"/>
      <c r="M21" s="50"/>
      <c r="N21" s="50"/>
      <c r="O21" s="50"/>
    </row>
    <row r="22" spans="1:15" x14ac:dyDescent="0.25">
      <c r="A22" s="57" t="s">
        <v>68</v>
      </c>
      <c r="B22" s="57"/>
      <c r="C22" s="61" t="s">
        <v>35</v>
      </c>
      <c r="D22" s="61"/>
      <c r="E22" s="73">
        <f>(Datos!O24)/Datos!C5</f>
        <v>0.73440642843074555</v>
      </c>
      <c r="F22" s="73"/>
      <c r="G22" s="72" t="s">
        <v>69</v>
      </c>
      <c r="H22" s="72"/>
      <c r="I22" s="72"/>
      <c r="J22" s="72"/>
      <c r="K22" s="56" t="s">
        <v>71</v>
      </c>
      <c r="L22" s="56"/>
      <c r="M22" s="56"/>
      <c r="N22" s="56"/>
      <c r="O22" s="56"/>
    </row>
    <row r="23" spans="1:15" x14ac:dyDescent="0.25">
      <c r="A23" s="57"/>
      <c r="B23" s="57"/>
      <c r="C23" s="61" t="s">
        <v>36</v>
      </c>
      <c r="D23" s="61"/>
      <c r="E23" s="73">
        <f>(Datos!O25)/(Datos!C4)</f>
        <v>0.83719021145389783</v>
      </c>
      <c r="F23" s="73"/>
      <c r="G23" s="72"/>
      <c r="H23" s="72"/>
      <c r="I23" s="72"/>
      <c r="J23" s="72"/>
      <c r="K23" s="56"/>
      <c r="L23" s="56"/>
      <c r="M23" s="56"/>
      <c r="N23" s="56"/>
      <c r="O23" s="56"/>
    </row>
    <row r="24" spans="1:15" x14ac:dyDescent="0.25">
      <c r="A24" s="57"/>
      <c r="B24" s="57"/>
      <c r="C24" s="61" t="s">
        <v>39</v>
      </c>
      <c r="D24" s="61"/>
      <c r="E24" s="73">
        <f>(Datos!O19)/Datos!C11</f>
        <v>0.87139748319014321</v>
      </c>
      <c r="F24" s="73"/>
      <c r="G24" s="72"/>
      <c r="H24" s="72"/>
      <c r="I24" s="72"/>
      <c r="J24" s="72"/>
      <c r="K24" s="56"/>
      <c r="L24" s="56"/>
      <c r="M24" s="56"/>
      <c r="N24" s="56"/>
      <c r="O24" s="56"/>
    </row>
    <row r="25" spans="1:15" x14ac:dyDescent="0.25">
      <c r="A25" s="57"/>
      <c r="B25" s="57"/>
      <c r="C25" s="61" t="s">
        <v>15</v>
      </c>
      <c r="D25" s="61"/>
      <c r="E25" s="73">
        <f>(Datos!O17)/Datos!C12</f>
        <v>0.30551563567144296</v>
      </c>
      <c r="F25" s="73"/>
      <c r="G25" s="72"/>
      <c r="H25" s="72"/>
      <c r="I25" s="72"/>
      <c r="J25" s="72"/>
      <c r="K25" s="56"/>
      <c r="L25" s="56"/>
      <c r="M25" s="56"/>
      <c r="N25" s="56"/>
      <c r="O25" s="56"/>
    </row>
    <row r="26" spans="1:15" x14ac:dyDescent="0.25">
      <c r="A26" s="57"/>
      <c r="B26" s="57"/>
      <c r="C26" s="61" t="s">
        <v>37</v>
      </c>
      <c r="D26" s="61"/>
      <c r="E26" s="73">
        <f>(Datos!O21)/Datos!C8</f>
        <v>0.32425718835868766</v>
      </c>
      <c r="F26" s="73"/>
      <c r="G26" s="72"/>
      <c r="H26" s="72"/>
      <c r="I26" s="72"/>
      <c r="J26" s="72"/>
      <c r="K26" s="56"/>
      <c r="L26" s="56"/>
      <c r="M26" s="56"/>
      <c r="N26" s="56"/>
      <c r="O26" s="56"/>
    </row>
    <row r="27" spans="1:15" x14ac:dyDescent="0.25">
      <c r="A27" s="57"/>
      <c r="B27" s="57"/>
      <c r="C27" s="61" t="s">
        <v>19</v>
      </c>
      <c r="D27" s="61"/>
      <c r="E27" s="73">
        <f>(Datos!O16)/Datos!C13</f>
        <v>0.77445043575636596</v>
      </c>
      <c r="F27" s="73"/>
      <c r="G27" s="72"/>
      <c r="H27" s="72"/>
      <c r="I27" s="72"/>
      <c r="J27" s="72"/>
      <c r="K27" s="49" t="s">
        <v>72</v>
      </c>
      <c r="L27" s="49"/>
      <c r="M27" s="49"/>
      <c r="N27" s="49"/>
      <c r="O27" s="49"/>
    </row>
    <row r="28" spans="1:15" x14ac:dyDescent="0.25">
      <c r="A28" s="57"/>
      <c r="B28" s="57"/>
      <c r="C28" s="61" t="s">
        <v>38</v>
      </c>
      <c r="D28" s="61"/>
      <c r="E28" s="73">
        <f>(Datos!O18)/Datos!C9</f>
        <v>0.31265994328692298</v>
      </c>
      <c r="F28" s="73"/>
      <c r="G28" s="72"/>
      <c r="H28" s="72"/>
      <c r="I28" s="72"/>
      <c r="J28" s="72"/>
      <c r="K28" s="49"/>
      <c r="L28" s="49"/>
      <c r="M28" s="49"/>
      <c r="N28" s="49"/>
      <c r="O28" s="49"/>
    </row>
    <row r="29" spans="1:15" x14ac:dyDescent="0.25">
      <c r="A29" s="57"/>
      <c r="B29" s="57"/>
      <c r="C29" s="61" t="s">
        <v>23</v>
      </c>
      <c r="D29" s="62"/>
      <c r="E29" s="73">
        <f>(Datos!O23)/Datos!C6</f>
        <v>0.64819977456067568</v>
      </c>
      <c r="F29" s="73"/>
      <c r="G29" s="72"/>
      <c r="H29" s="72"/>
      <c r="I29" s="72"/>
      <c r="J29" s="72"/>
      <c r="K29" s="49"/>
      <c r="L29" s="49"/>
      <c r="M29" s="49"/>
      <c r="N29" s="49"/>
      <c r="O29" s="49"/>
    </row>
    <row r="30" spans="1:15" x14ac:dyDescent="0.25">
      <c r="A30" s="57"/>
      <c r="B30" s="57"/>
      <c r="C30" s="61" t="s">
        <v>25</v>
      </c>
      <c r="D30" s="61"/>
      <c r="E30" s="73">
        <f>(Datos!O22)/Datos!C7</f>
        <v>0.74906501004765813</v>
      </c>
      <c r="F30" s="73"/>
      <c r="G30" s="72"/>
      <c r="H30" s="72"/>
      <c r="I30" s="72"/>
      <c r="J30" s="72"/>
      <c r="K30" s="49"/>
      <c r="L30" s="49"/>
      <c r="M30" s="49"/>
      <c r="N30" s="49"/>
      <c r="O30" s="49"/>
    </row>
    <row r="31" spans="1:15" x14ac:dyDescent="0.25">
      <c r="A31" s="57"/>
      <c r="B31" s="57"/>
      <c r="C31" s="61" t="s">
        <v>27</v>
      </c>
      <c r="D31" s="61"/>
      <c r="E31" s="73">
        <f>(Datos!O20)/Datos!C10</f>
        <v>0.88050735710608907</v>
      </c>
      <c r="F31" s="73"/>
      <c r="G31" s="72"/>
      <c r="H31" s="72"/>
      <c r="I31" s="72"/>
      <c r="J31" s="72"/>
      <c r="K31" s="49"/>
      <c r="L31" s="49"/>
      <c r="M31" s="49"/>
      <c r="N31" s="49"/>
      <c r="O31" s="49"/>
    </row>
    <row r="32" spans="1:15" x14ac:dyDescent="0.25">
      <c r="A32" s="53" t="s">
        <v>73</v>
      </c>
      <c r="B32" s="53"/>
      <c r="C32" s="51" t="s">
        <v>35</v>
      </c>
      <c r="D32" s="51"/>
      <c r="E32" s="63">
        <f>(Datos!C5)/Datos!K35</f>
        <v>3.765151370537771</v>
      </c>
      <c r="F32" s="63"/>
      <c r="G32" s="70" t="s">
        <v>74</v>
      </c>
      <c r="H32" s="71"/>
      <c r="I32" s="71"/>
      <c r="J32" s="71"/>
      <c r="K32" s="56" t="s">
        <v>75</v>
      </c>
      <c r="L32" s="56"/>
      <c r="M32" s="56"/>
      <c r="N32" s="56"/>
      <c r="O32" s="56"/>
    </row>
    <row r="33" spans="1:15" x14ac:dyDescent="0.25">
      <c r="A33" s="53"/>
      <c r="B33" s="53"/>
      <c r="C33" s="51" t="s">
        <v>36</v>
      </c>
      <c r="D33" s="51"/>
      <c r="E33" s="63">
        <f>(Datos!C4)/Datos!K37</f>
        <v>6.1421368391301243</v>
      </c>
      <c r="F33" s="63"/>
      <c r="G33" s="71"/>
      <c r="H33" s="71"/>
      <c r="I33" s="71"/>
      <c r="J33" s="71"/>
      <c r="K33" s="56"/>
      <c r="L33" s="56"/>
      <c r="M33" s="56"/>
      <c r="N33" s="56"/>
      <c r="O33" s="56"/>
    </row>
    <row r="34" spans="1:15" x14ac:dyDescent="0.25">
      <c r="A34" s="53"/>
      <c r="B34" s="53"/>
      <c r="C34" s="51" t="s">
        <v>39</v>
      </c>
      <c r="D34" s="51"/>
      <c r="E34" s="63">
        <f>(Datos!C22)/Datos!K30</f>
        <v>5.8581659236207946</v>
      </c>
      <c r="F34" s="63"/>
      <c r="G34" s="71"/>
      <c r="H34" s="71"/>
      <c r="I34" s="71"/>
      <c r="J34" s="71"/>
      <c r="K34" s="56"/>
      <c r="L34" s="56"/>
      <c r="M34" s="56"/>
      <c r="N34" s="56"/>
      <c r="O34" s="56"/>
    </row>
    <row r="35" spans="1:15" x14ac:dyDescent="0.25">
      <c r="A35" s="53"/>
      <c r="B35" s="53"/>
      <c r="C35" s="51" t="s">
        <v>15</v>
      </c>
      <c r="D35" s="51"/>
      <c r="E35" s="63">
        <f>(Datos!C12)/Datos!K31</f>
        <v>1.4399172268864862</v>
      </c>
      <c r="F35" s="63"/>
      <c r="G35" s="71"/>
      <c r="H35" s="71"/>
      <c r="I35" s="71"/>
      <c r="J35" s="71"/>
      <c r="K35" s="56"/>
      <c r="L35" s="56"/>
      <c r="M35" s="56"/>
      <c r="N35" s="56"/>
      <c r="O35" s="56"/>
    </row>
    <row r="36" spans="1:15" x14ac:dyDescent="0.25">
      <c r="A36" s="53"/>
      <c r="B36" s="53"/>
      <c r="C36" s="51" t="s">
        <v>37</v>
      </c>
      <c r="D36" s="51"/>
      <c r="E36" s="63">
        <f>(Datos!C8)/Datos!K34</f>
        <v>1.4808064977338933</v>
      </c>
      <c r="F36" s="63"/>
      <c r="G36" s="71"/>
      <c r="H36" s="71"/>
      <c r="I36" s="71"/>
      <c r="J36" s="71"/>
      <c r="K36" s="56"/>
      <c r="L36" s="56"/>
      <c r="M36" s="56"/>
      <c r="N36" s="56"/>
      <c r="O36" s="56"/>
    </row>
    <row r="37" spans="1:15" x14ac:dyDescent="0.25">
      <c r="A37" s="53"/>
      <c r="B37" s="53"/>
      <c r="C37" s="51" t="s">
        <v>19</v>
      </c>
      <c r="D37" s="51"/>
      <c r="E37" s="63">
        <f>(Datos!C13)/Datos!K28</f>
        <v>4.4336153047044693</v>
      </c>
      <c r="F37" s="63"/>
      <c r="G37" s="71"/>
      <c r="H37" s="71"/>
      <c r="I37" s="71"/>
      <c r="J37" s="71"/>
      <c r="K37" s="49" t="s">
        <v>76</v>
      </c>
      <c r="L37" s="49"/>
      <c r="M37" s="49"/>
      <c r="N37" s="49"/>
      <c r="O37" s="49"/>
    </row>
    <row r="38" spans="1:15" x14ac:dyDescent="0.25">
      <c r="A38" s="53"/>
      <c r="B38" s="53"/>
      <c r="C38" s="51" t="s">
        <v>38</v>
      </c>
      <c r="D38" s="51"/>
      <c r="E38" s="63">
        <f>(Datos!C9)/Datos!K32</f>
        <v>1.2009792184318739</v>
      </c>
      <c r="F38" s="63"/>
      <c r="G38" s="71"/>
      <c r="H38" s="71"/>
      <c r="I38" s="71"/>
      <c r="J38" s="71"/>
      <c r="K38" s="49"/>
      <c r="L38" s="49"/>
      <c r="M38" s="49"/>
      <c r="N38" s="49"/>
      <c r="O38" s="49"/>
    </row>
    <row r="39" spans="1:15" x14ac:dyDescent="0.25">
      <c r="A39" s="53"/>
      <c r="B39" s="53"/>
      <c r="C39" s="51" t="s">
        <v>23</v>
      </c>
      <c r="D39" s="52"/>
      <c r="E39" s="63">
        <f>(Datos!C6)/Datos!K36</f>
        <v>2.8425223399195123</v>
      </c>
      <c r="F39" s="63"/>
      <c r="G39" s="71"/>
      <c r="H39" s="71"/>
      <c r="I39" s="71"/>
      <c r="J39" s="71"/>
      <c r="K39" s="49"/>
      <c r="L39" s="49"/>
      <c r="M39" s="49"/>
      <c r="N39" s="49"/>
      <c r="O39" s="49"/>
    </row>
    <row r="40" spans="1:15" x14ac:dyDescent="0.25">
      <c r="A40" s="53"/>
      <c r="B40" s="53"/>
      <c r="C40" s="51" t="s">
        <v>25</v>
      </c>
      <c r="D40" s="51"/>
      <c r="E40" s="63">
        <f>(Datos!C19)/Datos!K33</f>
        <v>3.0659658419535067</v>
      </c>
      <c r="F40" s="63"/>
      <c r="G40" s="71"/>
      <c r="H40" s="71"/>
      <c r="I40" s="71"/>
      <c r="J40" s="71"/>
      <c r="K40" s="49"/>
      <c r="L40" s="49"/>
      <c r="M40" s="49"/>
      <c r="N40" s="49"/>
      <c r="O40" s="49"/>
    </row>
    <row r="41" spans="1:15" x14ac:dyDescent="0.25">
      <c r="A41" s="53"/>
      <c r="B41" s="53"/>
      <c r="C41" s="51" t="s">
        <v>27</v>
      </c>
      <c r="D41" s="51"/>
      <c r="E41" s="63">
        <f>(Datos!C10)/Datos!K29</f>
        <v>8.3687160630284971</v>
      </c>
      <c r="F41" s="63"/>
      <c r="G41" s="71"/>
      <c r="H41" s="71"/>
      <c r="I41" s="71"/>
      <c r="J41" s="71"/>
      <c r="K41" s="49"/>
      <c r="L41" s="49"/>
      <c r="M41" s="49"/>
      <c r="N41" s="49"/>
      <c r="O41" s="49"/>
    </row>
    <row r="42" spans="1:15" ht="15" customHeight="1" x14ac:dyDescent="0.25">
      <c r="A42" s="57" t="s">
        <v>77</v>
      </c>
      <c r="B42" s="58"/>
      <c r="C42" s="61" t="s">
        <v>35</v>
      </c>
      <c r="D42" s="61"/>
      <c r="E42" s="67">
        <f>(Datos!C41)/Datos!K4</f>
        <v>7.0752833742150747</v>
      </c>
      <c r="F42" s="67"/>
      <c r="G42" s="65" t="s">
        <v>78</v>
      </c>
      <c r="H42" s="65"/>
      <c r="I42" s="65"/>
      <c r="J42" s="65"/>
      <c r="K42" s="69" t="s">
        <v>79</v>
      </c>
      <c r="L42" s="69"/>
      <c r="M42" s="69"/>
      <c r="N42" s="69"/>
      <c r="O42" s="69"/>
    </row>
    <row r="43" spans="1:15" x14ac:dyDescent="0.25">
      <c r="A43" s="58"/>
      <c r="B43" s="58"/>
      <c r="C43" s="61" t="s">
        <v>36</v>
      </c>
      <c r="D43" s="61"/>
      <c r="E43" s="67">
        <f>(Datos!C40)/Datos!K5</f>
        <v>25.372407282654063</v>
      </c>
      <c r="F43" s="67"/>
      <c r="G43" s="65"/>
      <c r="H43" s="65"/>
      <c r="I43" s="65"/>
      <c r="J43" s="65"/>
      <c r="K43" s="69"/>
      <c r="L43" s="69"/>
      <c r="M43" s="69"/>
      <c r="N43" s="69"/>
      <c r="O43" s="69"/>
    </row>
    <row r="44" spans="1:15" x14ac:dyDescent="0.25">
      <c r="A44" s="58"/>
      <c r="B44" s="58"/>
      <c r="C44" s="61" t="s">
        <v>39</v>
      </c>
      <c r="D44" s="61"/>
      <c r="E44" s="67">
        <f>(Datos!C48)/Datos!K11</f>
        <v>122.02519035896262</v>
      </c>
      <c r="F44" s="67"/>
      <c r="G44" s="65"/>
      <c r="H44" s="65"/>
      <c r="I44" s="65"/>
      <c r="J44" s="65"/>
      <c r="K44" s="69"/>
      <c r="L44" s="69"/>
      <c r="M44" s="69"/>
      <c r="N44" s="69"/>
      <c r="O44" s="69"/>
    </row>
    <row r="45" spans="1:15" x14ac:dyDescent="0.25">
      <c r="A45" s="58"/>
      <c r="B45" s="58"/>
      <c r="C45" s="61" t="s">
        <v>15</v>
      </c>
      <c r="D45" s="61"/>
      <c r="E45" s="67">
        <f>(Datos!C47)/Datos!K12</f>
        <v>160.42486314251147</v>
      </c>
      <c r="F45" s="67"/>
      <c r="G45" s="65"/>
      <c r="H45" s="65"/>
      <c r="I45" s="65"/>
      <c r="J45" s="65"/>
      <c r="K45" s="69"/>
      <c r="L45" s="69"/>
      <c r="M45" s="69"/>
      <c r="N45" s="69"/>
      <c r="O45" s="69"/>
    </row>
    <row r="46" spans="1:15" x14ac:dyDescent="0.25">
      <c r="A46" s="58"/>
      <c r="B46" s="58"/>
      <c r="C46" s="61" t="s">
        <v>37</v>
      </c>
      <c r="D46" s="61"/>
      <c r="E46" s="67">
        <f>(Datos!C43)/Datos!K6</f>
        <v>5.4400187361233971</v>
      </c>
      <c r="F46" s="67"/>
      <c r="G46" s="65"/>
      <c r="H46" s="65"/>
      <c r="I46" s="65"/>
      <c r="J46" s="65"/>
      <c r="K46" s="69"/>
      <c r="L46" s="69"/>
      <c r="M46" s="69"/>
      <c r="N46" s="69"/>
      <c r="O46" s="69"/>
    </row>
    <row r="47" spans="1:15" x14ac:dyDescent="0.25">
      <c r="A47" s="58"/>
      <c r="B47" s="58"/>
      <c r="C47" s="61" t="s">
        <v>19</v>
      </c>
      <c r="D47" s="61"/>
      <c r="E47" s="67">
        <f>(Datos!C49)/Datos!K13</f>
        <v>701.83831376734258</v>
      </c>
      <c r="F47" s="67"/>
      <c r="G47" s="65"/>
      <c r="H47" s="65"/>
      <c r="I47" s="65"/>
      <c r="J47" s="65"/>
      <c r="K47" s="49" t="s">
        <v>80</v>
      </c>
      <c r="L47" s="49"/>
      <c r="M47" s="49"/>
      <c r="N47" s="49"/>
      <c r="O47" s="49"/>
    </row>
    <row r="48" spans="1:15" x14ac:dyDescent="0.25">
      <c r="A48" s="58"/>
      <c r="B48" s="58"/>
      <c r="C48" s="61" t="s">
        <v>38</v>
      </c>
      <c r="D48" s="61"/>
      <c r="E48" s="67">
        <f>(Datos!C45)/Datos!K10</f>
        <v>32.353054866869712</v>
      </c>
      <c r="F48" s="67"/>
      <c r="G48" s="65"/>
      <c r="H48" s="65"/>
      <c r="I48" s="65"/>
      <c r="J48" s="65"/>
      <c r="K48" s="49"/>
      <c r="L48" s="49"/>
      <c r="M48" s="49"/>
      <c r="N48" s="49"/>
      <c r="O48" s="49"/>
    </row>
    <row r="49" spans="1:15" x14ac:dyDescent="0.25">
      <c r="A49" s="58"/>
      <c r="B49" s="58"/>
      <c r="C49" s="61" t="s">
        <v>23</v>
      </c>
      <c r="D49" s="62"/>
      <c r="E49" s="67">
        <f>(Datos!C42)/Datos!K9</f>
        <v>98.674561683820002</v>
      </c>
      <c r="F49" s="67"/>
      <c r="G49" s="65"/>
      <c r="H49" s="65"/>
      <c r="I49" s="65"/>
      <c r="J49" s="65"/>
      <c r="K49" s="49"/>
      <c r="L49" s="49"/>
      <c r="M49" s="49"/>
      <c r="N49" s="49"/>
      <c r="O49" s="49"/>
    </row>
    <row r="50" spans="1:15" x14ac:dyDescent="0.25">
      <c r="A50" s="58"/>
      <c r="B50" s="58"/>
      <c r="C50" s="61" t="s">
        <v>25</v>
      </c>
      <c r="D50" s="61"/>
      <c r="E50" s="67">
        <f>(Datos!C44)/Datos!K8</f>
        <v>76.082724662772549</v>
      </c>
      <c r="F50" s="67"/>
      <c r="G50" s="65"/>
      <c r="H50" s="65"/>
      <c r="I50" s="65"/>
      <c r="J50" s="65"/>
      <c r="K50" s="49"/>
      <c r="L50" s="49"/>
      <c r="M50" s="49"/>
      <c r="N50" s="49"/>
      <c r="O50" s="49"/>
    </row>
    <row r="51" spans="1:15" x14ac:dyDescent="0.25">
      <c r="A51" s="58"/>
      <c r="B51" s="58"/>
      <c r="C51" s="61" t="s">
        <v>27</v>
      </c>
      <c r="D51" s="61"/>
      <c r="E51" s="67">
        <f>(Datos!C46)/Datos!K7</f>
        <v>4.8590088489303156</v>
      </c>
      <c r="F51" s="67"/>
      <c r="G51" s="65"/>
      <c r="H51" s="65"/>
      <c r="I51" s="65"/>
      <c r="J51" s="65"/>
      <c r="K51" s="49"/>
      <c r="L51" s="49"/>
      <c r="M51" s="49"/>
      <c r="N51" s="49"/>
      <c r="O51" s="49"/>
    </row>
    <row r="52" spans="1:15" x14ac:dyDescent="0.25">
      <c r="A52" s="53" t="s">
        <v>81</v>
      </c>
      <c r="B52" s="53"/>
      <c r="C52" s="51" t="s">
        <v>35</v>
      </c>
      <c r="D52" s="51"/>
      <c r="E52" s="63">
        <f>(Datos!C41)/Datos!C5</f>
        <v>0.99081647497233583</v>
      </c>
      <c r="F52" s="63"/>
      <c r="G52" s="54" t="s">
        <v>82</v>
      </c>
      <c r="H52" s="68"/>
      <c r="I52" s="68"/>
      <c r="J52" s="68"/>
      <c r="K52" s="56" t="s">
        <v>83</v>
      </c>
      <c r="L52" s="64"/>
      <c r="M52" s="64"/>
      <c r="N52" s="64"/>
      <c r="O52" s="64"/>
    </row>
    <row r="53" spans="1:15" x14ac:dyDescent="0.25">
      <c r="A53" s="53"/>
      <c r="B53" s="53"/>
      <c r="C53" s="51" t="s">
        <v>36</v>
      </c>
      <c r="D53" s="51"/>
      <c r="E53" s="63">
        <f>Datos!C40/Datos!C4</f>
        <v>0.72199311841896219</v>
      </c>
      <c r="F53" s="63"/>
      <c r="G53" s="68"/>
      <c r="H53" s="68"/>
      <c r="I53" s="68"/>
      <c r="J53" s="68"/>
      <c r="K53" s="64"/>
      <c r="L53" s="64"/>
      <c r="M53" s="64"/>
      <c r="N53" s="64"/>
      <c r="O53" s="64"/>
    </row>
    <row r="54" spans="1:15" x14ac:dyDescent="0.25">
      <c r="A54" s="53"/>
      <c r="B54" s="53"/>
      <c r="C54" s="51" t="s">
        <v>39</v>
      </c>
      <c r="D54" s="51"/>
      <c r="E54" s="63">
        <f>Datos!C48/Datos!C11</f>
        <v>0.45420421694967167</v>
      </c>
      <c r="F54" s="63"/>
      <c r="G54" s="68"/>
      <c r="H54" s="68"/>
      <c r="I54" s="68"/>
      <c r="J54" s="68"/>
      <c r="K54" s="64"/>
      <c r="L54" s="64"/>
      <c r="M54" s="64"/>
      <c r="N54" s="64"/>
      <c r="O54" s="64"/>
    </row>
    <row r="55" spans="1:15" x14ac:dyDescent="0.25">
      <c r="A55" s="53"/>
      <c r="B55" s="53"/>
      <c r="C55" s="51" t="s">
        <v>15</v>
      </c>
      <c r="D55" s="51"/>
      <c r="E55" s="63">
        <f>Datos!C47/Datos!C12</f>
        <v>0.56600606560591815</v>
      </c>
      <c r="F55" s="63"/>
      <c r="G55" s="68"/>
      <c r="H55" s="68"/>
      <c r="I55" s="68"/>
      <c r="J55" s="68"/>
      <c r="K55" s="64"/>
      <c r="L55" s="64"/>
      <c r="M55" s="64"/>
      <c r="N55" s="64"/>
      <c r="O55" s="64"/>
    </row>
    <row r="56" spans="1:15" x14ac:dyDescent="0.25">
      <c r="A56" s="53"/>
      <c r="B56" s="53"/>
      <c r="C56" s="51" t="s">
        <v>37</v>
      </c>
      <c r="D56" s="51"/>
      <c r="E56" s="63">
        <f>Datos!C43/Datos!C8</f>
        <v>0.700851377797576</v>
      </c>
      <c r="F56" s="63"/>
      <c r="G56" s="68"/>
      <c r="H56" s="68"/>
      <c r="I56" s="68"/>
      <c r="J56" s="68"/>
      <c r="K56" s="64"/>
      <c r="L56" s="64"/>
      <c r="M56" s="64"/>
      <c r="N56" s="64"/>
      <c r="O56" s="64"/>
    </row>
    <row r="57" spans="1:15" x14ac:dyDescent="0.25">
      <c r="A57" s="53"/>
      <c r="B57" s="53"/>
      <c r="C57" s="51" t="s">
        <v>19</v>
      </c>
      <c r="D57" s="51"/>
      <c r="E57" s="63">
        <f>Datos!C49/Datos!C13</f>
        <v>0.40022792005453039</v>
      </c>
      <c r="F57" s="63"/>
      <c r="G57" s="68"/>
      <c r="H57" s="68"/>
      <c r="I57" s="68"/>
      <c r="J57" s="68"/>
      <c r="K57" s="49" t="s">
        <v>84</v>
      </c>
      <c r="L57" s="50"/>
      <c r="M57" s="50"/>
      <c r="N57" s="50"/>
      <c r="O57" s="50"/>
    </row>
    <row r="58" spans="1:15" x14ac:dyDescent="0.25">
      <c r="A58" s="53"/>
      <c r="B58" s="53"/>
      <c r="C58" s="51" t="s">
        <v>38</v>
      </c>
      <c r="D58" s="51"/>
      <c r="E58" s="63">
        <f>Datos!C45/Datos!C9</f>
        <v>0.56774111703894614</v>
      </c>
      <c r="F58" s="63"/>
      <c r="G58" s="68"/>
      <c r="H58" s="68"/>
      <c r="I58" s="68"/>
      <c r="J58" s="68"/>
      <c r="K58" s="50"/>
      <c r="L58" s="50"/>
      <c r="M58" s="50"/>
      <c r="N58" s="50"/>
      <c r="O58" s="50"/>
    </row>
    <row r="59" spans="1:15" x14ac:dyDescent="0.25">
      <c r="A59" s="53"/>
      <c r="B59" s="53"/>
      <c r="C59" s="51" t="s">
        <v>23</v>
      </c>
      <c r="D59" s="52"/>
      <c r="E59" s="63">
        <f>Datos!C42/Datos!C6</f>
        <v>0.34005338735348223</v>
      </c>
      <c r="F59" s="63"/>
      <c r="G59" s="68"/>
      <c r="H59" s="68"/>
      <c r="I59" s="68"/>
      <c r="J59" s="68"/>
      <c r="K59" s="50"/>
      <c r="L59" s="50"/>
      <c r="M59" s="50"/>
      <c r="N59" s="50"/>
      <c r="O59" s="50"/>
    </row>
    <row r="60" spans="1:15" x14ac:dyDescent="0.25">
      <c r="A60" s="53"/>
      <c r="B60" s="53"/>
      <c r="C60" s="51" t="s">
        <v>25</v>
      </c>
      <c r="D60" s="51"/>
      <c r="E60" s="63">
        <f>Datos!C44/Datos!C7</f>
        <v>0.52028145390551994</v>
      </c>
      <c r="F60" s="63"/>
      <c r="G60" s="68"/>
      <c r="H60" s="68"/>
      <c r="I60" s="68"/>
      <c r="J60" s="68"/>
      <c r="K60" s="50"/>
      <c r="L60" s="50"/>
      <c r="M60" s="50"/>
      <c r="N60" s="50"/>
      <c r="O60" s="50"/>
    </row>
    <row r="61" spans="1:15" x14ac:dyDescent="0.25">
      <c r="A61" s="53"/>
      <c r="B61" s="53"/>
      <c r="C61" s="51" t="s">
        <v>27</v>
      </c>
      <c r="D61" s="51"/>
      <c r="E61" s="63">
        <f>Datos!C46/Datos!C10</f>
        <v>0.51163025729410416</v>
      </c>
      <c r="F61" s="63"/>
      <c r="G61" s="68"/>
      <c r="H61" s="68"/>
      <c r="I61" s="68"/>
      <c r="J61" s="68"/>
      <c r="K61" s="50"/>
      <c r="L61" s="50"/>
      <c r="M61" s="50"/>
      <c r="N61" s="50"/>
      <c r="O61" s="50"/>
    </row>
    <row r="62" spans="1:15" x14ac:dyDescent="0.25">
      <c r="A62" s="57" t="s">
        <v>85</v>
      </c>
      <c r="B62" s="58"/>
      <c r="C62" s="61" t="s">
        <v>35</v>
      </c>
      <c r="D62" s="61"/>
      <c r="E62" s="59">
        <f>Datos!O41/Datos!K35</f>
        <v>0.18285217055072112</v>
      </c>
      <c r="F62" s="59"/>
      <c r="G62" s="65" t="s">
        <v>86</v>
      </c>
      <c r="H62" s="66"/>
      <c r="I62" s="66"/>
      <c r="J62" s="66"/>
      <c r="K62" s="56" t="s">
        <v>87</v>
      </c>
      <c r="L62" s="56"/>
      <c r="M62" s="56"/>
      <c r="N62" s="56"/>
      <c r="O62" s="56"/>
    </row>
    <row r="63" spans="1:15" x14ac:dyDescent="0.25">
      <c r="A63" s="58"/>
      <c r="B63" s="58"/>
      <c r="C63" s="61" t="s">
        <v>36</v>
      </c>
      <c r="D63" s="61"/>
      <c r="E63" s="60">
        <f>Datos!O40/Datos!K37</f>
        <v>0.21921787787254821</v>
      </c>
      <c r="F63" s="60"/>
      <c r="G63" s="66"/>
      <c r="H63" s="66"/>
      <c r="I63" s="66"/>
      <c r="J63" s="66"/>
      <c r="K63" s="56"/>
      <c r="L63" s="56"/>
      <c r="M63" s="56"/>
      <c r="N63" s="56"/>
      <c r="O63" s="56"/>
    </row>
    <row r="64" spans="1:15" x14ac:dyDescent="0.25">
      <c r="A64" s="58"/>
      <c r="B64" s="58"/>
      <c r="C64" s="61" t="s">
        <v>39</v>
      </c>
      <c r="D64" s="61"/>
      <c r="E64" s="60">
        <f>Datos!O45/Datos!K30</f>
        <v>0.30232149016807114</v>
      </c>
      <c r="F64" s="60"/>
      <c r="G64" s="66"/>
      <c r="H64" s="66"/>
      <c r="I64" s="66"/>
      <c r="J64" s="66"/>
      <c r="K64" s="56"/>
      <c r="L64" s="56"/>
      <c r="M64" s="56"/>
      <c r="N64" s="56"/>
      <c r="O64" s="56"/>
    </row>
    <row r="65" spans="1:15" x14ac:dyDescent="0.25">
      <c r="A65" s="58"/>
      <c r="B65" s="58"/>
      <c r="C65" s="61" t="s">
        <v>15</v>
      </c>
      <c r="D65" s="61"/>
      <c r="E65" s="60">
        <f>Datos!O46/Datos!K31</f>
        <v>6.4631198786737579E-2</v>
      </c>
      <c r="F65" s="60"/>
      <c r="G65" s="66"/>
      <c r="H65" s="66"/>
      <c r="I65" s="66"/>
      <c r="J65" s="66"/>
      <c r="K65" s="56"/>
      <c r="L65" s="56"/>
      <c r="M65" s="56"/>
      <c r="N65" s="56"/>
      <c r="O65" s="56"/>
    </row>
    <row r="66" spans="1:15" x14ac:dyDescent="0.25">
      <c r="A66" s="58"/>
      <c r="B66" s="58"/>
      <c r="C66" s="61" t="s">
        <v>37</v>
      </c>
      <c r="D66" s="61"/>
      <c r="E66" s="60">
        <f>Datos!O42/Datos!K34</f>
        <v>0.10936795397279911</v>
      </c>
      <c r="F66" s="60"/>
      <c r="G66" s="66"/>
      <c r="H66" s="66"/>
      <c r="I66" s="66"/>
      <c r="J66" s="66"/>
      <c r="K66" s="56"/>
      <c r="L66" s="56"/>
      <c r="M66" s="56"/>
      <c r="N66" s="56"/>
      <c r="O66" s="56"/>
    </row>
    <row r="67" spans="1:15" x14ac:dyDescent="0.25">
      <c r="A67" s="58"/>
      <c r="B67" s="58"/>
      <c r="C67" s="61" t="s">
        <v>19</v>
      </c>
      <c r="D67" s="61"/>
      <c r="E67" s="60">
        <f>Datos!O47/Datos!K28</f>
        <v>-0.42542464348835013</v>
      </c>
      <c r="F67" s="60"/>
      <c r="G67" s="66"/>
      <c r="H67" s="66"/>
      <c r="I67" s="66"/>
      <c r="J67" s="66"/>
      <c r="K67" s="49" t="s">
        <v>88</v>
      </c>
      <c r="L67" s="49"/>
      <c r="M67" s="49"/>
      <c r="N67" s="49"/>
      <c r="O67" s="49"/>
    </row>
    <row r="68" spans="1:15" x14ac:dyDescent="0.25">
      <c r="A68" s="58"/>
      <c r="B68" s="58"/>
      <c r="C68" s="61" t="s">
        <v>38</v>
      </c>
      <c r="D68" s="61"/>
      <c r="E68" s="60">
        <f>Datos!O44/Datos!K32</f>
        <v>0.16666402561434485</v>
      </c>
      <c r="F68" s="60"/>
      <c r="G68" s="66"/>
      <c r="H68" s="66"/>
      <c r="I68" s="66"/>
      <c r="J68" s="66"/>
      <c r="K68" s="49"/>
      <c r="L68" s="49"/>
      <c r="M68" s="49"/>
      <c r="N68" s="49"/>
      <c r="O68" s="49"/>
    </row>
    <row r="69" spans="1:15" x14ac:dyDescent="0.25">
      <c r="A69" s="58"/>
      <c r="B69" s="58"/>
      <c r="C69" s="61" t="s">
        <v>23</v>
      </c>
      <c r="D69" s="62"/>
      <c r="E69" s="60">
        <f>Datos!O43/Datos!K36</f>
        <v>7.2677938680509369E-2</v>
      </c>
      <c r="F69" s="60"/>
      <c r="G69" s="66"/>
      <c r="H69" s="66"/>
      <c r="I69" s="66"/>
      <c r="J69" s="66"/>
      <c r="K69" s="49"/>
      <c r="L69" s="49"/>
      <c r="M69" s="49"/>
      <c r="N69" s="49"/>
      <c r="O69" s="49"/>
    </row>
    <row r="70" spans="1:15" x14ac:dyDescent="0.25">
      <c r="A70" s="58"/>
      <c r="B70" s="58"/>
      <c r="C70" s="61" t="s">
        <v>25</v>
      </c>
      <c r="D70" s="61"/>
      <c r="E70" s="60">
        <f>Datos!O49/Datos!K33</f>
        <v>-8.6932451460035615E-2</v>
      </c>
      <c r="F70" s="60"/>
      <c r="G70" s="66"/>
      <c r="H70" s="66"/>
      <c r="I70" s="66"/>
      <c r="J70" s="66"/>
      <c r="K70" s="49"/>
      <c r="L70" s="49"/>
      <c r="M70" s="49"/>
      <c r="N70" s="49"/>
      <c r="O70" s="49"/>
    </row>
    <row r="71" spans="1:15" x14ac:dyDescent="0.25">
      <c r="A71" s="58"/>
      <c r="B71" s="58"/>
      <c r="C71" s="61" t="s">
        <v>27</v>
      </c>
      <c r="D71" s="61"/>
      <c r="E71" s="60">
        <f>Datos!O48/Datos!K29</f>
        <v>-0.19200018382526229</v>
      </c>
      <c r="F71" s="60"/>
      <c r="G71" s="66"/>
      <c r="H71" s="66"/>
      <c r="I71" s="66"/>
      <c r="J71" s="66"/>
      <c r="K71" s="49"/>
      <c r="L71" s="49"/>
      <c r="M71" s="49"/>
      <c r="N71" s="49"/>
      <c r="O71" s="49"/>
    </row>
    <row r="72" spans="1:15" x14ac:dyDescent="0.25">
      <c r="A72" s="53" t="s">
        <v>89</v>
      </c>
      <c r="B72" s="53"/>
      <c r="C72" s="51" t="s">
        <v>35</v>
      </c>
      <c r="D72" s="51"/>
      <c r="E72" s="55">
        <f>Datos!O41/Datos!C5</f>
        <v>4.8564361045756468E-2</v>
      </c>
      <c r="F72" s="55"/>
      <c r="G72" s="54" t="s">
        <v>90</v>
      </c>
      <c r="H72" s="54"/>
      <c r="I72" s="54"/>
      <c r="J72" s="54"/>
      <c r="K72" s="56" t="s">
        <v>91</v>
      </c>
      <c r="L72" s="56"/>
      <c r="M72" s="56"/>
      <c r="N72" s="56"/>
      <c r="O72" s="56"/>
    </row>
    <row r="73" spans="1:15" x14ac:dyDescent="0.25">
      <c r="A73" s="53"/>
      <c r="B73" s="53"/>
      <c r="C73" s="51" t="s">
        <v>36</v>
      </c>
      <c r="D73" s="51"/>
      <c r="E73" s="55">
        <f>Datos!O40/Datos!C4</f>
        <v>3.5690816341954826E-2</v>
      </c>
      <c r="F73" s="55"/>
      <c r="G73" s="54"/>
      <c r="H73" s="54"/>
      <c r="I73" s="54"/>
      <c r="J73" s="54"/>
      <c r="K73" s="56"/>
      <c r="L73" s="56"/>
      <c r="M73" s="56"/>
      <c r="N73" s="56"/>
      <c r="O73" s="56"/>
    </row>
    <row r="74" spans="1:15" x14ac:dyDescent="0.25">
      <c r="A74" s="53"/>
      <c r="B74" s="53"/>
      <c r="C74" s="51" t="s">
        <v>39</v>
      </c>
      <c r="D74" s="51"/>
      <c r="E74" s="55">
        <f>Datos!O45/Datos!C11</f>
        <v>3.8879304521320331E-2</v>
      </c>
      <c r="F74" s="55"/>
      <c r="G74" s="54"/>
      <c r="H74" s="54"/>
      <c r="I74" s="54"/>
      <c r="J74" s="54"/>
      <c r="K74" s="56"/>
      <c r="L74" s="56"/>
      <c r="M74" s="56"/>
      <c r="N74" s="56"/>
      <c r="O74" s="56"/>
    </row>
    <row r="75" spans="1:15" x14ac:dyDescent="0.25">
      <c r="A75" s="53"/>
      <c r="B75" s="53"/>
      <c r="C75" s="51" t="s">
        <v>15</v>
      </c>
      <c r="D75" s="51"/>
      <c r="E75" s="55">
        <f>Datos!O46/Datos!C12</f>
        <v>4.4885357005200056E-2</v>
      </c>
      <c r="F75" s="55"/>
      <c r="G75" s="54"/>
      <c r="H75" s="54"/>
      <c r="I75" s="54"/>
      <c r="J75" s="54"/>
      <c r="K75" s="56"/>
      <c r="L75" s="56"/>
      <c r="M75" s="56"/>
      <c r="N75" s="56"/>
      <c r="O75" s="56"/>
    </row>
    <row r="76" spans="1:15" x14ac:dyDescent="0.25">
      <c r="A76" s="53"/>
      <c r="B76" s="53"/>
      <c r="C76" s="51" t="s">
        <v>37</v>
      </c>
      <c r="D76" s="51"/>
      <c r="E76" s="55">
        <f>Datos!O42/Datos!C8</f>
        <v>7.3857019225784734E-2</v>
      </c>
      <c r="F76" s="55"/>
      <c r="G76" s="54"/>
      <c r="H76" s="54"/>
      <c r="I76" s="54"/>
      <c r="J76" s="54"/>
      <c r="K76" s="56"/>
      <c r="L76" s="56"/>
      <c r="M76" s="56"/>
      <c r="N76" s="56"/>
      <c r="O76" s="56"/>
    </row>
    <row r="77" spans="1:15" x14ac:dyDescent="0.25">
      <c r="A77" s="53"/>
      <c r="B77" s="53"/>
      <c r="C77" s="51" t="s">
        <v>19</v>
      </c>
      <c r="D77" s="51"/>
      <c r="E77" s="55">
        <f>Datos!O47/Datos!C13</f>
        <v>-9.5954342957300751E-2</v>
      </c>
      <c r="F77" s="55"/>
      <c r="G77" s="54"/>
      <c r="H77" s="54"/>
      <c r="I77" s="54"/>
      <c r="J77" s="54"/>
      <c r="K77" s="49" t="s">
        <v>92</v>
      </c>
      <c r="L77" s="50"/>
      <c r="M77" s="50"/>
      <c r="N77" s="50"/>
      <c r="O77" s="50"/>
    </row>
    <row r="78" spans="1:15" x14ac:dyDescent="0.25">
      <c r="A78" s="53"/>
      <c r="B78" s="53"/>
      <c r="C78" s="51" t="s">
        <v>38</v>
      </c>
      <c r="D78" s="51"/>
      <c r="E78" s="55">
        <f>Datos!O44/Datos!C9</f>
        <v>0.13877344674786221</v>
      </c>
      <c r="F78" s="55"/>
      <c r="G78" s="54"/>
      <c r="H78" s="54"/>
      <c r="I78" s="54"/>
      <c r="J78" s="54"/>
      <c r="K78" s="50"/>
      <c r="L78" s="50"/>
      <c r="M78" s="50"/>
      <c r="N78" s="50"/>
      <c r="O78" s="50"/>
    </row>
    <row r="79" spans="1:15" x14ac:dyDescent="0.25">
      <c r="A79" s="53"/>
      <c r="B79" s="53"/>
      <c r="C79" s="51" t="s">
        <v>23</v>
      </c>
      <c r="D79" s="52"/>
      <c r="E79" s="55">
        <f>Datos!O43/Datos!C6</f>
        <v>2.5568115212268587E-2</v>
      </c>
      <c r="F79" s="55"/>
      <c r="G79" s="54"/>
      <c r="H79" s="54"/>
      <c r="I79" s="54"/>
      <c r="J79" s="54"/>
      <c r="K79" s="50"/>
      <c r="L79" s="50"/>
      <c r="M79" s="50"/>
      <c r="N79" s="50"/>
      <c r="O79" s="50"/>
    </row>
    <row r="80" spans="1:15" x14ac:dyDescent="0.25">
      <c r="A80" s="53"/>
      <c r="B80" s="53"/>
      <c r="C80" s="51" t="s">
        <v>25</v>
      </c>
      <c r="D80" s="51"/>
      <c r="E80" s="55">
        <f>Datos!O49/Datos!C7</f>
        <v>-2.1814393833656489E-2</v>
      </c>
      <c r="F80" s="55"/>
      <c r="G80" s="54"/>
      <c r="H80" s="54"/>
      <c r="I80" s="54"/>
      <c r="J80" s="54"/>
      <c r="K80" s="50"/>
      <c r="L80" s="50"/>
      <c r="M80" s="50"/>
      <c r="N80" s="50"/>
      <c r="O80" s="50"/>
    </row>
    <row r="81" spans="1:15" x14ac:dyDescent="0.25">
      <c r="A81" s="53"/>
      <c r="B81" s="53"/>
      <c r="C81" s="51" t="s">
        <v>27</v>
      </c>
      <c r="D81" s="51"/>
      <c r="E81" s="55">
        <f>Datos!O48/Datos!C10</f>
        <v>-2.294260940139731E-2</v>
      </c>
      <c r="F81" s="55"/>
      <c r="G81" s="54"/>
      <c r="H81" s="54"/>
      <c r="I81" s="54"/>
      <c r="J81" s="54"/>
      <c r="K81" s="50"/>
      <c r="L81" s="50"/>
      <c r="M81" s="50"/>
      <c r="N81" s="50"/>
      <c r="O81" s="50"/>
    </row>
    <row r="82" spans="1:15" x14ac:dyDescent="0.25">
      <c r="A82" s="57" t="s">
        <v>93</v>
      </c>
      <c r="B82" s="57"/>
      <c r="C82" s="61" t="s">
        <v>35</v>
      </c>
      <c r="D82" s="61"/>
      <c r="E82" s="84">
        <f>Datos!O41/Datos!C41</f>
        <v>4.9014486812113629E-2</v>
      </c>
      <c r="F82" s="84"/>
      <c r="G82" s="65" t="s">
        <v>94</v>
      </c>
      <c r="H82" s="66"/>
      <c r="I82" s="66"/>
      <c r="J82" s="66"/>
      <c r="K82" s="56" t="s">
        <v>95</v>
      </c>
      <c r="L82" s="56"/>
      <c r="M82" s="56"/>
      <c r="N82" s="56"/>
      <c r="O82" s="56"/>
    </row>
    <row r="83" spans="1:15" x14ac:dyDescent="0.25">
      <c r="A83" s="57"/>
      <c r="B83" s="57"/>
      <c r="C83" s="61" t="s">
        <v>36</v>
      </c>
      <c r="D83" s="61"/>
      <c r="E83" s="84">
        <f>Datos!O40/Datos!C40</f>
        <v>4.9433734798070415E-2</v>
      </c>
      <c r="F83" s="84"/>
      <c r="G83" s="66"/>
      <c r="H83" s="66"/>
      <c r="I83" s="66"/>
      <c r="J83" s="66"/>
      <c r="K83" s="56"/>
      <c r="L83" s="56"/>
      <c r="M83" s="56"/>
      <c r="N83" s="56"/>
      <c r="O83" s="56"/>
    </row>
    <row r="84" spans="1:15" x14ac:dyDescent="0.25">
      <c r="A84" s="57"/>
      <c r="B84" s="57"/>
      <c r="C84" s="61" t="s">
        <v>39</v>
      </c>
      <c r="D84" s="61"/>
      <c r="E84" s="84">
        <f>Datos!O45/Datos!C48</f>
        <v>8.5598730858168964E-2</v>
      </c>
      <c r="F84" s="84"/>
      <c r="G84" s="66"/>
      <c r="H84" s="66"/>
      <c r="I84" s="66"/>
      <c r="J84" s="66"/>
      <c r="K84" s="56"/>
      <c r="L84" s="56"/>
      <c r="M84" s="56"/>
      <c r="N84" s="56"/>
      <c r="O84" s="56"/>
    </row>
    <row r="85" spans="1:15" x14ac:dyDescent="0.25">
      <c r="A85" s="57"/>
      <c r="B85" s="57"/>
      <c r="C85" s="61" t="s">
        <v>15</v>
      </c>
      <c r="D85" s="61"/>
      <c r="E85" s="84">
        <f>Datos!O46/Datos!C47</f>
        <v>7.9301901044381201E-2</v>
      </c>
      <c r="F85" s="84"/>
      <c r="G85" s="66"/>
      <c r="H85" s="66"/>
      <c r="I85" s="66"/>
      <c r="J85" s="66"/>
      <c r="K85" s="56"/>
      <c r="L85" s="56"/>
      <c r="M85" s="56"/>
      <c r="N85" s="56"/>
      <c r="O85" s="56"/>
    </row>
    <row r="86" spans="1:15" x14ac:dyDescent="0.25">
      <c r="A86" s="57"/>
      <c r="B86" s="57"/>
      <c r="C86" s="61" t="s">
        <v>37</v>
      </c>
      <c r="D86" s="61"/>
      <c r="E86" s="84">
        <f>Datos!O42/Datos!C43</f>
        <v>0.10538185636144466</v>
      </c>
      <c r="F86" s="84"/>
      <c r="G86" s="66"/>
      <c r="H86" s="66"/>
      <c r="I86" s="66"/>
      <c r="J86" s="66"/>
      <c r="K86" s="56"/>
      <c r="L86" s="56"/>
      <c r="M86" s="56"/>
      <c r="N86" s="56"/>
      <c r="O86" s="56"/>
    </row>
    <row r="87" spans="1:15" x14ac:dyDescent="0.25">
      <c r="A87" s="57"/>
      <c r="B87" s="57"/>
      <c r="C87" s="61" t="s">
        <v>19</v>
      </c>
      <c r="D87" s="61"/>
      <c r="E87" s="84">
        <f>Datos!O47/Datos!C49</f>
        <v>-0.23974924823892127</v>
      </c>
      <c r="F87" s="84"/>
      <c r="G87" s="66"/>
      <c r="H87" s="66"/>
      <c r="I87" s="66"/>
      <c r="J87" s="66"/>
      <c r="K87" s="49" t="s">
        <v>96</v>
      </c>
      <c r="L87" s="49"/>
      <c r="M87" s="49"/>
      <c r="N87" s="49"/>
      <c r="O87" s="49"/>
    </row>
    <row r="88" spans="1:15" x14ac:dyDescent="0.25">
      <c r="A88" s="57"/>
      <c r="B88" s="57"/>
      <c r="C88" s="61" t="s">
        <v>38</v>
      </c>
      <c r="D88" s="61"/>
      <c r="E88" s="84">
        <f>Datos!O44/Datos!C45</f>
        <v>0.24443085516094931</v>
      </c>
      <c r="F88" s="84"/>
      <c r="G88" s="66"/>
      <c r="H88" s="66"/>
      <c r="I88" s="66"/>
      <c r="J88" s="66"/>
      <c r="K88" s="49"/>
      <c r="L88" s="49"/>
      <c r="M88" s="49"/>
      <c r="N88" s="49"/>
      <c r="O88" s="49"/>
    </row>
    <row r="89" spans="1:15" x14ac:dyDescent="0.25">
      <c r="A89" s="57"/>
      <c r="B89" s="57"/>
      <c r="C89" s="61" t="s">
        <v>23</v>
      </c>
      <c r="D89" s="62"/>
      <c r="E89" s="84">
        <f>Datos!O43/Datos!C42</f>
        <v>7.5188532633820748E-2</v>
      </c>
      <c r="F89" s="84"/>
      <c r="G89" s="66"/>
      <c r="H89" s="66"/>
      <c r="I89" s="66"/>
      <c r="J89" s="66"/>
      <c r="K89" s="49"/>
      <c r="L89" s="49"/>
      <c r="M89" s="49"/>
      <c r="N89" s="49"/>
      <c r="O89" s="49"/>
    </row>
    <row r="90" spans="1:15" x14ac:dyDescent="0.25">
      <c r="A90" s="57"/>
      <c r="B90" s="57"/>
      <c r="C90" s="61" t="s">
        <v>25</v>
      </c>
      <c r="D90" s="61"/>
      <c r="E90" s="84">
        <f>Datos!O49/Datos!C44</f>
        <v>-4.1928063493145103E-2</v>
      </c>
      <c r="F90" s="84"/>
      <c r="G90" s="66"/>
      <c r="H90" s="66"/>
      <c r="I90" s="66"/>
      <c r="J90" s="66"/>
      <c r="K90" s="49"/>
      <c r="L90" s="49"/>
      <c r="M90" s="49"/>
      <c r="N90" s="49"/>
      <c r="O90" s="49"/>
    </row>
    <row r="91" spans="1:15" x14ac:dyDescent="0.25">
      <c r="A91" s="57"/>
      <c r="B91" s="57"/>
      <c r="C91" s="61" t="s">
        <v>27</v>
      </c>
      <c r="D91" s="61"/>
      <c r="E91" s="84">
        <f>Datos!O48/Datos!C46</f>
        <v>-4.4842166924871772E-2</v>
      </c>
      <c r="F91" s="84"/>
      <c r="G91" s="66"/>
      <c r="H91" s="66"/>
      <c r="I91" s="66"/>
      <c r="J91" s="66"/>
      <c r="K91" s="49"/>
      <c r="L91" s="49"/>
      <c r="M91" s="49"/>
      <c r="N91" s="49"/>
      <c r="O91" s="49"/>
    </row>
    <row r="93" spans="1:15" ht="16.5" x14ac:dyDescent="0.3">
      <c r="A93" s="82" t="s">
        <v>97</v>
      </c>
      <c r="B93" s="82"/>
      <c r="C93" s="82" t="s">
        <v>98</v>
      </c>
      <c r="D93" s="82"/>
      <c r="E93" s="82"/>
      <c r="F93" s="16" t="s">
        <v>99</v>
      </c>
      <c r="G93" s="16" t="s">
        <v>105</v>
      </c>
      <c r="H93" s="18" t="s">
        <v>117</v>
      </c>
      <c r="I93" s="17"/>
      <c r="J93" s="17"/>
    </row>
    <row r="94" spans="1:15" x14ac:dyDescent="0.25">
      <c r="A94" s="83" t="s">
        <v>104</v>
      </c>
      <c r="B94" s="83"/>
      <c r="C94" s="83" t="s">
        <v>102</v>
      </c>
      <c r="D94" s="83"/>
      <c r="E94" s="83"/>
      <c r="F94" s="20">
        <v>0.1</v>
      </c>
      <c r="G94" s="21">
        <v>1</v>
      </c>
      <c r="H94" s="83">
        <v>1</v>
      </c>
    </row>
    <row r="95" spans="1:15" x14ac:dyDescent="0.25">
      <c r="A95" s="83"/>
      <c r="B95" s="83"/>
      <c r="C95" s="83" t="s">
        <v>103</v>
      </c>
      <c r="D95" s="83"/>
      <c r="E95" s="83"/>
      <c r="F95" s="20">
        <v>0.1</v>
      </c>
      <c r="G95" s="21">
        <v>2</v>
      </c>
      <c r="H95" s="83"/>
    </row>
    <row r="96" spans="1:15" x14ac:dyDescent="0.25">
      <c r="A96" s="91" t="s">
        <v>108</v>
      </c>
      <c r="B96" s="91"/>
      <c r="C96" s="91" t="s">
        <v>106</v>
      </c>
      <c r="D96" s="91"/>
      <c r="E96" s="91"/>
      <c r="F96" s="24">
        <v>7.4999999999999997E-2</v>
      </c>
      <c r="G96" s="7">
        <v>3</v>
      </c>
      <c r="H96" s="87">
        <v>2</v>
      </c>
    </row>
    <row r="97" spans="1:14" x14ac:dyDescent="0.25">
      <c r="A97" s="91"/>
      <c r="B97" s="91"/>
      <c r="C97" s="91" t="s">
        <v>107</v>
      </c>
      <c r="D97" s="91"/>
      <c r="E97" s="91"/>
      <c r="F97" s="25">
        <v>7.4999999999999997E-2</v>
      </c>
      <c r="G97" s="7">
        <v>4</v>
      </c>
      <c r="H97" s="87"/>
    </row>
    <row r="98" spans="1:14" x14ac:dyDescent="0.25">
      <c r="A98" s="88" t="s">
        <v>111</v>
      </c>
      <c r="B98" s="88"/>
      <c r="C98" s="92" t="s">
        <v>109</v>
      </c>
      <c r="D98" s="92"/>
      <c r="E98" s="92"/>
      <c r="F98" s="22">
        <v>0.2</v>
      </c>
      <c r="G98" s="23">
        <v>5</v>
      </c>
      <c r="H98" s="88">
        <v>3</v>
      </c>
    </row>
    <row r="99" spans="1:14" x14ac:dyDescent="0.25">
      <c r="A99" s="88"/>
      <c r="B99" s="88"/>
      <c r="C99" s="88" t="s">
        <v>110</v>
      </c>
      <c r="D99" s="88"/>
      <c r="E99" s="88"/>
      <c r="F99" s="22">
        <v>0.2</v>
      </c>
      <c r="G99" s="23">
        <v>6</v>
      </c>
      <c r="H99" s="88"/>
    </row>
    <row r="100" spans="1:14" ht="15" customHeight="1" x14ac:dyDescent="0.25">
      <c r="A100" s="89" t="s">
        <v>112</v>
      </c>
      <c r="B100" s="89"/>
      <c r="C100" s="89" t="s">
        <v>113</v>
      </c>
      <c r="D100" s="89"/>
      <c r="E100" s="89"/>
      <c r="F100" s="26">
        <v>0.05</v>
      </c>
      <c r="G100" s="27">
        <v>7</v>
      </c>
      <c r="H100" s="89">
        <v>4</v>
      </c>
    </row>
    <row r="101" spans="1:14" x14ac:dyDescent="0.25">
      <c r="A101" s="89"/>
      <c r="B101" s="89"/>
      <c r="C101" s="89" t="s">
        <v>114</v>
      </c>
      <c r="D101" s="89"/>
      <c r="E101" s="89"/>
      <c r="F101" s="26">
        <v>0.1</v>
      </c>
      <c r="G101" s="27">
        <v>8</v>
      </c>
      <c r="H101" s="89"/>
    </row>
    <row r="102" spans="1:14" x14ac:dyDescent="0.25">
      <c r="A102" s="89"/>
      <c r="B102" s="89"/>
      <c r="C102" s="89" t="s">
        <v>115</v>
      </c>
      <c r="D102" s="89"/>
      <c r="E102" s="89"/>
      <c r="F102" s="26">
        <v>0.1</v>
      </c>
      <c r="G102" s="27">
        <v>9</v>
      </c>
      <c r="H102" s="89"/>
    </row>
    <row r="105" spans="1:14" ht="19.5" customHeight="1" x14ac:dyDescent="0.25">
      <c r="A105" s="90" t="s">
        <v>116</v>
      </c>
      <c r="B105" s="90"/>
      <c r="C105" s="90"/>
      <c r="D105" s="90"/>
      <c r="F105" s="90" t="s">
        <v>119</v>
      </c>
      <c r="G105" s="90"/>
      <c r="H105" s="90"/>
      <c r="I105" s="90"/>
      <c r="K105" s="90" t="s">
        <v>120</v>
      </c>
      <c r="L105" s="90"/>
      <c r="M105" s="90"/>
      <c r="N105" s="90"/>
    </row>
    <row r="106" spans="1:14" x14ac:dyDescent="0.25">
      <c r="A106" s="19" t="s">
        <v>97</v>
      </c>
      <c r="B106" s="19" t="s">
        <v>98</v>
      </c>
      <c r="C106" s="19" t="s">
        <v>100</v>
      </c>
      <c r="D106" s="19" t="s">
        <v>101</v>
      </c>
      <c r="F106" s="19" t="s">
        <v>97</v>
      </c>
      <c r="G106" s="19" t="s">
        <v>98</v>
      </c>
      <c r="H106" s="19" t="s">
        <v>100</v>
      </c>
      <c r="I106" s="19" t="s">
        <v>101</v>
      </c>
      <c r="K106" s="19" t="s">
        <v>97</v>
      </c>
      <c r="L106" s="19" t="s">
        <v>98</v>
      </c>
      <c r="M106" s="19" t="s">
        <v>100</v>
      </c>
      <c r="N106" s="19" t="s">
        <v>101</v>
      </c>
    </row>
    <row r="107" spans="1:14" x14ac:dyDescent="0.25">
      <c r="A107" s="85">
        <v>1</v>
      </c>
      <c r="B107" s="19">
        <v>1</v>
      </c>
      <c r="C107" s="29">
        <f>F94*E2</f>
        <v>0.11300848707488964</v>
      </c>
      <c r="D107" s="86">
        <f>C107+C108</f>
        <v>0.18007125881401287</v>
      </c>
      <c r="F107" s="85">
        <v>1</v>
      </c>
      <c r="G107" s="19">
        <v>1</v>
      </c>
      <c r="H107" s="29">
        <f>F94*E3</f>
        <v>7.4334924399813013E-2</v>
      </c>
      <c r="I107" s="86">
        <f>H107+H108</f>
        <v>0.14866984879962603</v>
      </c>
      <c r="K107" s="85">
        <v>1</v>
      </c>
      <c r="L107" s="19">
        <v>1</v>
      </c>
      <c r="M107" s="29">
        <f>F94*E4</f>
        <v>7.9106939017304825E-2</v>
      </c>
      <c r="N107" s="86">
        <f>M107+M108</f>
        <v>0.15701994782351131</v>
      </c>
    </row>
    <row r="108" spans="1:14" x14ac:dyDescent="0.25">
      <c r="A108" s="85"/>
      <c r="B108" s="19">
        <v>2</v>
      </c>
      <c r="C108" s="29">
        <f>F95*E12</f>
        <v>6.7062771739123214E-2</v>
      </c>
      <c r="D108" s="85"/>
      <c r="F108" s="85"/>
      <c r="G108" s="19">
        <v>2</v>
      </c>
      <c r="H108" s="29">
        <f>F95*E3</f>
        <v>7.4334924399813013E-2</v>
      </c>
      <c r="I108" s="85"/>
      <c r="K108" s="85"/>
      <c r="L108" s="19">
        <v>2</v>
      </c>
      <c r="M108" s="29">
        <f>F95*E14</f>
        <v>7.7913008806206496E-2</v>
      </c>
      <c r="N108" s="85"/>
    </row>
    <row r="109" spans="1:14" x14ac:dyDescent="0.25">
      <c r="A109" s="85">
        <v>2</v>
      </c>
      <c r="B109" s="19">
        <v>3</v>
      </c>
      <c r="C109" s="29">
        <f>F96*E22</f>
        <v>5.5080482132305916E-2</v>
      </c>
      <c r="D109" s="86">
        <f>C109+C110</f>
        <v>0.33746683492263874</v>
      </c>
      <c r="F109" s="85">
        <v>2</v>
      </c>
      <c r="G109" s="19">
        <v>3</v>
      </c>
      <c r="H109" s="29">
        <f>F96*E23</f>
        <v>6.2789265859042334E-2</v>
      </c>
      <c r="I109" s="86">
        <f>H109+H110</f>
        <v>0.52344952879380169</v>
      </c>
      <c r="K109" s="85">
        <v>2</v>
      </c>
      <c r="L109" s="19">
        <v>3</v>
      </c>
      <c r="M109" s="29">
        <f>F96*E24</f>
        <v>6.5354811239260735E-2</v>
      </c>
      <c r="N109" s="86">
        <f>M109+M110</f>
        <v>0.50471725551082036</v>
      </c>
    </row>
    <row r="110" spans="1:14" x14ac:dyDescent="0.25">
      <c r="A110" s="85"/>
      <c r="B110" s="19">
        <v>4</v>
      </c>
      <c r="C110" s="29">
        <f>F97*E32</f>
        <v>0.28238635279033281</v>
      </c>
      <c r="D110" s="85"/>
      <c r="F110" s="85"/>
      <c r="G110" s="19">
        <v>4</v>
      </c>
      <c r="H110" s="29">
        <f>F97*E33</f>
        <v>0.46066026293475931</v>
      </c>
      <c r="I110" s="85"/>
      <c r="K110" s="85"/>
      <c r="L110" s="19">
        <v>4</v>
      </c>
      <c r="M110" s="29">
        <f>F97*E34</f>
        <v>0.43936244427155957</v>
      </c>
      <c r="N110" s="85"/>
    </row>
    <row r="111" spans="1:14" x14ac:dyDescent="0.25">
      <c r="A111" s="85">
        <v>3</v>
      </c>
      <c r="B111" s="19">
        <v>5</v>
      </c>
      <c r="C111" s="29">
        <f>F98*E42</f>
        <v>1.4150566748430151</v>
      </c>
      <c r="D111" s="86">
        <f>C111+C112</f>
        <v>1.6132199698374823</v>
      </c>
      <c r="F111" s="85">
        <v>3</v>
      </c>
      <c r="G111" s="19">
        <v>5</v>
      </c>
      <c r="H111" s="29">
        <f>F98*E43</f>
        <v>5.0744814565308127</v>
      </c>
      <c r="I111" s="86">
        <f>H111+H112</f>
        <v>5.2188800802146051</v>
      </c>
      <c r="K111" s="85">
        <v>3</v>
      </c>
      <c r="L111" s="19">
        <v>5</v>
      </c>
      <c r="M111" s="29">
        <f>F98*E44</f>
        <v>24.405038071792525</v>
      </c>
      <c r="N111" s="86">
        <f>M111+M112</f>
        <v>24.495878915182459</v>
      </c>
    </row>
    <row r="112" spans="1:14" x14ac:dyDescent="0.25">
      <c r="A112" s="85"/>
      <c r="B112" s="19">
        <v>6</v>
      </c>
      <c r="C112" s="29">
        <f>F99*E52</f>
        <v>0.19816329499446717</v>
      </c>
      <c r="D112" s="85"/>
      <c r="F112" s="85"/>
      <c r="G112" s="19">
        <v>6</v>
      </c>
      <c r="H112" s="29">
        <f>F99*E53</f>
        <v>0.14439862368379244</v>
      </c>
      <c r="I112" s="85"/>
      <c r="K112" s="85"/>
      <c r="L112" s="19">
        <v>6</v>
      </c>
      <c r="M112" s="29">
        <f>F99*E54</f>
        <v>9.0840843389934339E-2</v>
      </c>
      <c r="N112" s="85"/>
    </row>
    <row r="113" spans="1:14" x14ac:dyDescent="0.25">
      <c r="A113" s="85">
        <v>4</v>
      </c>
      <c r="B113" s="19">
        <v>7</v>
      </c>
      <c r="C113" s="30">
        <f>F100*E62</f>
        <v>9.1426085275360565E-3</v>
      </c>
      <c r="D113" s="86">
        <f>C113+C114+C115</f>
        <v>1.8900493313323066E-2</v>
      </c>
      <c r="F113" s="85">
        <v>4</v>
      </c>
      <c r="G113" s="19">
        <v>7</v>
      </c>
      <c r="H113" s="30">
        <f>F100*E63</f>
        <v>1.0960893893627411E-2</v>
      </c>
      <c r="I113" s="86">
        <f>H113+H114+H115</f>
        <v>1.9473349007629936E-2</v>
      </c>
      <c r="K113" s="85">
        <v>4</v>
      </c>
      <c r="L113" s="19">
        <v>7</v>
      </c>
      <c r="M113" s="30">
        <f>F100*E64</f>
        <v>1.5116074508403557E-2</v>
      </c>
      <c r="N113" s="86">
        <f>M113+M114+M115</f>
        <v>2.7563878046352484E-2</v>
      </c>
    </row>
    <row r="114" spans="1:14" x14ac:dyDescent="0.25">
      <c r="A114" s="85"/>
      <c r="B114" s="19">
        <v>8</v>
      </c>
      <c r="C114" s="31">
        <f>F101*E72</f>
        <v>4.8564361045756472E-3</v>
      </c>
      <c r="D114" s="85"/>
      <c r="F114" s="85"/>
      <c r="G114" s="19">
        <v>8</v>
      </c>
      <c r="H114" s="31">
        <f>F101*E73</f>
        <v>3.5690816341954826E-3</v>
      </c>
      <c r="I114" s="85"/>
      <c r="K114" s="85"/>
      <c r="L114" s="19">
        <v>8</v>
      </c>
      <c r="M114" s="31">
        <f>F101*E74</f>
        <v>3.8879304521320331E-3</v>
      </c>
      <c r="N114" s="85"/>
    </row>
    <row r="115" spans="1:14" x14ac:dyDescent="0.25">
      <c r="A115" s="85"/>
      <c r="B115" s="19">
        <v>9</v>
      </c>
      <c r="C115" s="31">
        <f>F102*E82</f>
        <v>4.9014486812113634E-3</v>
      </c>
      <c r="D115" s="85"/>
      <c r="F115" s="85"/>
      <c r="G115" s="19">
        <v>9</v>
      </c>
      <c r="H115" s="31">
        <f>F102*E83</f>
        <v>4.9433734798070422E-3</v>
      </c>
      <c r="I115" s="85"/>
      <c r="K115" s="85"/>
      <c r="L115" s="19">
        <v>9</v>
      </c>
      <c r="M115" s="31">
        <f>F102*E84</f>
        <v>8.5598730858168961E-3</v>
      </c>
      <c r="N115" s="85"/>
    </row>
    <row r="116" spans="1:14" ht="16.5" x14ac:dyDescent="0.25">
      <c r="A116" s="93" t="s">
        <v>118</v>
      </c>
      <c r="B116" s="93"/>
      <c r="C116" s="93"/>
      <c r="D116" s="28">
        <f>(D107+D109+D111+D113)*100</f>
        <v>214.96585568874568</v>
      </c>
      <c r="F116" s="93" t="s">
        <v>118</v>
      </c>
      <c r="G116" s="93"/>
      <c r="H116" s="93"/>
      <c r="I116" s="28">
        <f>(I107+I109+I111+I113)*100</f>
        <v>591.04728068156624</v>
      </c>
      <c r="K116" s="93" t="s">
        <v>118</v>
      </c>
      <c r="L116" s="93"/>
      <c r="M116" s="93"/>
      <c r="N116" s="28">
        <f>(N107+N109+N111+N113)*100</f>
        <v>2518.5179996563143</v>
      </c>
    </row>
    <row r="118" spans="1:14" ht="19.5" x14ac:dyDescent="0.25">
      <c r="A118" s="90" t="s">
        <v>121</v>
      </c>
      <c r="B118" s="90"/>
      <c r="C118" s="90"/>
      <c r="D118" s="90"/>
      <c r="F118" s="90" t="s">
        <v>122</v>
      </c>
      <c r="G118" s="90"/>
      <c r="H118" s="90"/>
      <c r="I118" s="90"/>
      <c r="K118" s="90" t="s">
        <v>123</v>
      </c>
      <c r="L118" s="90"/>
      <c r="M118" s="90"/>
      <c r="N118" s="90"/>
    </row>
    <row r="119" spans="1:14" x14ac:dyDescent="0.25">
      <c r="A119" s="19" t="s">
        <v>97</v>
      </c>
      <c r="B119" s="19" t="s">
        <v>98</v>
      </c>
      <c r="C119" s="19" t="s">
        <v>100</v>
      </c>
      <c r="D119" s="19" t="s">
        <v>101</v>
      </c>
      <c r="F119" s="19" t="s">
        <v>97</v>
      </c>
      <c r="G119" s="19" t="s">
        <v>98</v>
      </c>
      <c r="H119" s="19" t="s">
        <v>100</v>
      </c>
      <c r="I119" s="19" t="s">
        <v>101</v>
      </c>
      <c r="K119" s="19" t="s">
        <v>97</v>
      </c>
      <c r="L119" s="19" t="s">
        <v>98</v>
      </c>
      <c r="M119" s="19" t="s">
        <v>100</v>
      </c>
      <c r="N119" s="19" t="s">
        <v>101</v>
      </c>
    </row>
    <row r="120" spans="1:14" x14ac:dyDescent="0.25">
      <c r="A120" s="85">
        <v>1</v>
      </c>
      <c r="B120" s="19">
        <v>1</v>
      </c>
      <c r="C120" s="29">
        <f>F94*E5</f>
        <v>0.12079066943941626</v>
      </c>
      <c r="D120" s="86">
        <f>C120+C121</f>
        <v>0.23974387136648895</v>
      </c>
      <c r="F120" s="85">
        <v>1</v>
      </c>
      <c r="G120" s="19">
        <v>1</v>
      </c>
      <c r="H120" s="29">
        <f>F94*E6</f>
        <v>0.22731294475575817</v>
      </c>
      <c r="I120" s="86">
        <f>H120+H121</f>
        <v>0.38395778995982</v>
      </c>
      <c r="K120" s="85">
        <v>1</v>
      </c>
      <c r="L120" s="19">
        <v>1</v>
      </c>
      <c r="M120" s="29">
        <f>F94*E7</f>
        <v>1.1022768438141495</v>
      </c>
      <c r="N120" s="86">
        <f>M120+M121</f>
        <v>2.204553687628299</v>
      </c>
    </row>
    <row r="121" spans="1:14" x14ac:dyDescent="0.25">
      <c r="A121" s="85"/>
      <c r="B121" s="19">
        <v>2</v>
      </c>
      <c r="C121" s="29">
        <f>F95*E15</f>
        <v>0.1189532019270727</v>
      </c>
      <c r="D121" s="85"/>
      <c r="F121" s="85"/>
      <c r="G121" s="19">
        <v>2</v>
      </c>
      <c r="H121" s="29">
        <f>F95*E16</f>
        <v>0.15664484520406183</v>
      </c>
      <c r="I121" s="85"/>
      <c r="K121" s="85"/>
      <c r="L121" s="19">
        <v>2</v>
      </c>
      <c r="M121" s="29">
        <f>F95*E17</f>
        <v>1.1022768438141495</v>
      </c>
      <c r="N121" s="85"/>
    </row>
    <row r="122" spans="1:14" x14ac:dyDescent="0.25">
      <c r="A122" s="85">
        <v>2</v>
      </c>
      <c r="B122" s="19">
        <v>3</v>
      </c>
      <c r="C122" s="29">
        <f>F96*E25</f>
        <v>2.291367267535822E-2</v>
      </c>
      <c r="D122" s="86">
        <f>C122+C123</f>
        <v>0.13090746469184467</v>
      </c>
      <c r="F122" s="85">
        <v>2</v>
      </c>
      <c r="G122" s="19">
        <v>3</v>
      </c>
      <c r="H122" s="29">
        <f>F96*E26</f>
        <v>2.4319289126901573E-2</v>
      </c>
      <c r="I122" s="86">
        <f>H122+H123</f>
        <v>0.13537977645694357</v>
      </c>
      <c r="K122" s="85">
        <v>2</v>
      </c>
      <c r="L122" s="19">
        <v>3</v>
      </c>
      <c r="M122" s="29">
        <f>F96*E27</f>
        <v>5.8083782681727446E-2</v>
      </c>
      <c r="N122" s="86">
        <f>M122+M123</f>
        <v>0.39060493053456263</v>
      </c>
    </row>
    <row r="123" spans="1:14" x14ac:dyDescent="0.25">
      <c r="A123" s="85"/>
      <c r="B123" s="19">
        <v>4</v>
      </c>
      <c r="C123" s="29">
        <f>F97*E35</f>
        <v>0.10799379201648646</v>
      </c>
      <c r="D123" s="85"/>
      <c r="F123" s="85"/>
      <c r="G123" s="19">
        <v>4</v>
      </c>
      <c r="H123" s="29">
        <f>F97*E36</f>
        <v>0.11106048733004199</v>
      </c>
      <c r="I123" s="85"/>
      <c r="K123" s="85"/>
      <c r="L123" s="19">
        <v>4</v>
      </c>
      <c r="M123" s="29">
        <f>F97*E37</f>
        <v>0.33252114785283521</v>
      </c>
      <c r="N123" s="85"/>
    </row>
    <row r="124" spans="1:14" x14ac:dyDescent="0.25">
      <c r="A124" s="85">
        <v>3</v>
      </c>
      <c r="B124" s="19">
        <v>5</v>
      </c>
      <c r="C124" s="29">
        <f>F98*E45</f>
        <v>32.084972628502292</v>
      </c>
      <c r="D124" s="86">
        <f>C124+C125</f>
        <v>32.198173841623479</v>
      </c>
      <c r="F124" s="85">
        <v>3</v>
      </c>
      <c r="G124" s="19">
        <v>5</v>
      </c>
      <c r="H124" s="29">
        <f>F98*E46</f>
        <v>1.0880037472246795</v>
      </c>
      <c r="I124" s="86">
        <f>H124+H125</f>
        <v>1.2281740227841946</v>
      </c>
      <c r="K124" s="85">
        <v>3</v>
      </c>
      <c r="L124" s="19">
        <v>5</v>
      </c>
      <c r="M124" s="29">
        <f>F98*E47</f>
        <v>140.36766275346852</v>
      </c>
      <c r="N124" s="86">
        <f>M124+M125</f>
        <v>140.44770833747944</v>
      </c>
    </row>
    <row r="125" spans="1:14" x14ac:dyDescent="0.25">
      <c r="A125" s="85"/>
      <c r="B125" s="19">
        <v>6</v>
      </c>
      <c r="C125" s="29">
        <f>F99*E55</f>
        <v>0.11320121312118364</v>
      </c>
      <c r="D125" s="85"/>
      <c r="F125" s="85"/>
      <c r="G125" s="19">
        <v>6</v>
      </c>
      <c r="H125" s="29">
        <f>F99*E56</f>
        <v>0.1401702755595152</v>
      </c>
      <c r="I125" s="85"/>
      <c r="K125" s="85"/>
      <c r="L125" s="19">
        <v>6</v>
      </c>
      <c r="M125" s="29">
        <f>F99*E57</f>
        <v>8.0045584010906085E-2</v>
      </c>
      <c r="N125" s="85"/>
    </row>
    <row r="126" spans="1:14" x14ac:dyDescent="0.25">
      <c r="A126" s="85">
        <v>4</v>
      </c>
      <c r="B126" s="19">
        <v>7</v>
      </c>
      <c r="C126" s="32">
        <f>F100*E65</f>
        <v>3.2315599393368793E-3</v>
      </c>
      <c r="D126" s="86">
        <f>C126+C127+C128</f>
        <v>1.5650285744295004E-2</v>
      </c>
      <c r="F126" s="85">
        <v>4</v>
      </c>
      <c r="G126" s="19">
        <v>7</v>
      </c>
      <c r="H126" s="32">
        <f>F100*E66</f>
        <v>5.4683976986399556E-3</v>
      </c>
      <c r="I126" s="86">
        <f>H126+H127+H128</f>
        <v>2.3392285257362894E-2</v>
      </c>
      <c r="K126" s="85">
        <v>4</v>
      </c>
      <c r="L126" s="19">
        <v>7</v>
      </c>
      <c r="M126" s="32">
        <f>F100*E67</f>
        <v>-2.1271232174417509E-2</v>
      </c>
      <c r="N126" s="86">
        <f>M126+M127+M128</f>
        <v>-5.4841591294039718E-2</v>
      </c>
    </row>
    <row r="127" spans="1:14" x14ac:dyDescent="0.25">
      <c r="A127" s="85"/>
      <c r="B127" s="19">
        <v>8</v>
      </c>
      <c r="C127" s="31">
        <f>F101*E75</f>
        <v>4.4885357005200058E-3</v>
      </c>
      <c r="D127" s="85"/>
      <c r="F127" s="85"/>
      <c r="G127" s="19">
        <v>8</v>
      </c>
      <c r="H127" s="31">
        <f>F101*E76</f>
        <v>7.3857019225784734E-3</v>
      </c>
      <c r="I127" s="85"/>
      <c r="K127" s="85"/>
      <c r="L127" s="19">
        <v>8</v>
      </c>
      <c r="M127" s="31">
        <f>F101*E77</f>
        <v>-9.5954342957300758E-3</v>
      </c>
      <c r="N127" s="85"/>
    </row>
    <row r="128" spans="1:14" x14ac:dyDescent="0.25">
      <c r="A128" s="85"/>
      <c r="B128" s="19">
        <v>9</v>
      </c>
      <c r="C128" s="31">
        <f>F102*E85</f>
        <v>7.9301901044381198E-3</v>
      </c>
      <c r="D128" s="85"/>
      <c r="F128" s="85"/>
      <c r="G128" s="19">
        <v>9</v>
      </c>
      <c r="H128" s="31">
        <f>F102*E86</f>
        <v>1.0538185636144467E-2</v>
      </c>
      <c r="I128" s="85"/>
      <c r="K128" s="85"/>
      <c r="L128" s="19">
        <v>9</v>
      </c>
      <c r="M128" s="31">
        <f>F102*E87</f>
        <v>-2.397492482389213E-2</v>
      </c>
      <c r="N128" s="85"/>
    </row>
    <row r="129" spans="1:14" ht="16.5" x14ac:dyDescent="0.25">
      <c r="A129" s="93" t="s">
        <v>118</v>
      </c>
      <c r="B129" s="93"/>
      <c r="C129" s="93"/>
      <c r="D129" s="28">
        <f>(D120+D122+D124+D126)*100</f>
        <v>3258.4475463426102</v>
      </c>
      <c r="F129" s="93" t="s">
        <v>118</v>
      </c>
      <c r="G129" s="93"/>
      <c r="H129" s="93"/>
      <c r="I129" s="28">
        <f>(I120+I122+I124+I126)*100</f>
        <v>177.09038744583211</v>
      </c>
      <c r="K129" s="93" t="s">
        <v>118</v>
      </c>
      <c r="L129" s="93"/>
      <c r="M129" s="93"/>
      <c r="N129" s="28">
        <f>(N120+N122+N124+N126)*100</f>
        <v>14298.802536434827</v>
      </c>
    </row>
    <row r="131" spans="1:14" ht="19.5" x14ac:dyDescent="0.25">
      <c r="A131" s="90" t="s">
        <v>124</v>
      </c>
      <c r="B131" s="90"/>
      <c r="C131" s="90"/>
      <c r="D131" s="90"/>
      <c r="F131" s="90" t="s">
        <v>125</v>
      </c>
      <c r="G131" s="90"/>
      <c r="H131" s="90"/>
      <c r="I131" s="90"/>
      <c r="K131" s="90" t="s">
        <v>126</v>
      </c>
      <c r="L131" s="90"/>
      <c r="M131" s="90"/>
      <c r="N131" s="90"/>
    </row>
    <row r="132" spans="1:14" x14ac:dyDescent="0.25">
      <c r="A132" s="19" t="s">
        <v>97</v>
      </c>
      <c r="B132" s="19" t="s">
        <v>98</v>
      </c>
      <c r="C132" s="19" t="s">
        <v>100</v>
      </c>
      <c r="D132" s="19" t="s">
        <v>101</v>
      </c>
      <c r="F132" s="19" t="s">
        <v>97</v>
      </c>
      <c r="G132" s="19" t="s">
        <v>98</v>
      </c>
      <c r="H132" s="19" t="s">
        <v>100</v>
      </c>
      <c r="I132" s="19" t="s">
        <v>101</v>
      </c>
      <c r="K132" s="19" t="s">
        <v>97</v>
      </c>
      <c r="L132" s="19" t="s">
        <v>98</v>
      </c>
      <c r="M132" s="19" t="s">
        <v>100</v>
      </c>
      <c r="N132" s="19" t="s">
        <v>101</v>
      </c>
    </row>
    <row r="133" spans="1:14" x14ac:dyDescent="0.25">
      <c r="A133" s="85">
        <v>1</v>
      </c>
      <c r="B133" s="19">
        <v>1</v>
      </c>
      <c r="C133" s="29">
        <f>F94*E8</f>
        <v>7.866955337544923E-2</v>
      </c>
      <c r="D133" s="86">
        <f>C133+C134</f>
        <v>0.14964707246199571</v>
      </c>
      <c r="F133" s="85">
        <v>1</v>
      </c>
      <c r="G133" s="19">
        <v>1</v>
      </c>
      <c r="H133" s="29">
        <f>F94*E9</f>
        <v>0.1473640075772352</v>
      </c>
      <c r="I133" s="86">
        <f>H133+H134</f>
        <v>0.23202134220803211</v>
      </c>
      <c r="K133" s="85">
        <v>1</v>
      </c>
      <c r="L133" s="19">
        <v>1</v>
      </c>
      <c r="M133" s="29">
        <f>F94*E10</f>
        <v>4.3364905872223483E-2</v>
      </c>
      <c r="N133" s="86">
        <f>M133+M134</f>
        <v>8.5444074581649251E-2</v>
      </c>
    </row>
    <row r="134" spans="1:14" x14ac:dyDescent="0.25">
      <c r="A134" s="85"/>
      <c r="B134" s="19">
        <v>2</v>
      </c>
      <c r="C134" s="29">
        <f>F95*E18</f>
        <v>7.0977519086546481E-2</v>
      </c>
      <c r="D134" s="85"/>
      <c r="F134" s="85"/>
      <c r="G134" s="19">
        <v>2</v>
      </c>
      <c r="H134" s="29">
        <f>F95*E19</f>
        <v>8.4657334630796902E-2</v>
      </c>
      <c r="I134" s="85"/>
      <c r="K134" s="85"/>
      <c r="L134" s="19">
        <v>2</v>
      </c>
      <c r="M134" s="29">
        <f>F95*E20</f>
        <v>4.2079168709425768E-2</v>
      </c>
      <c r="N134" s="85"/>
    </row>
    <row r="135" spans="1:14" x14ac:dyDescent="0.25">
      <c r="A135" s="85">
        <v>2</v>
      </c>
      <c r="B135" s="19">
        <v>3</v>
      </c>
      <c r="C135" s="29">
        <f>F96*E28</f>
        <v>2.3449495746519222E-2</v>
      </c>
      <c r="D135" s="86">
        <f>C135+C136</f>
        <v>0.11352293712890976</v>
      </c>
      <c r="F135" s="85">
        <v>2</v>
      </c>
      <c r="G135" s="19">
        <v>3</v>
      </c>
      <c r="H135" s="29">
        <f>F96*E29</f>
        <v>4.8614983092050673E-2</v>
      </c>
      <c r="I135" s="86">
        <f>H135+H136</f>
        <v>0.26180415858601408</v>
      </c>
      <c r="K135" s="85">
        <v>2</v>
      </c>
      <c r="L135" s="19">
        <v>3</v>
      </c>
      <c r="M135" s="29">
        <f>F96*E30</f>
        <v>5.617987575357436E-2</v>
      </c>
      <c r="N135" s="86">
        <f>M135+M136</f>
        <v>0.28612731390008739</v>
      </c>
    </row>
    <row r="136" spans="1:14" x14ac:dyDescent="0.25">
      <c r="A136" s="85"/>
      <c r="B136" s="19">
        <v>4</v>
      </c>
      <c r="C136" s="29">
        <f>F97*E38</f>
        <v>9.007344138239054E-2</v>
      </c>
      <c r="D136" s="85"/>
      <c r="F136" s="85"/>
      <c r="G136" s="19">
        <v>4</v>
      </c>
      <c r="H136" s="29">
        <f>F97*E39</f>
        <v>0.21318917549396341</v>
      </c>
      <c r="I136" s="85"/>
      <c r="K136" s="85"/>
      <c r="L136" s="19">
        <v>4</v>
      </c>
      <c r="M136" s="29">
        <f>F97*E40</f>
        <v>0.229947438146513</v>
      </c>
      <c r="N136" s="85"/>
    </row>
    <row r="137" spans="1:14" x14ac:dyDescent="0.25">
      <c r="A137" s="85">
        <v>3</v>
      </c>
      <c r="B137" s="19">
        <v>5</v>
      </c>
      <c r="C137" s="29">
        <f>F98*E48</f>
        <v>6.470610973373943</v>
      </c>
      <c r="D137" s="86">
        <f>C137+C138</f>
        <v>6.5841591967817319</v>
      </c>
      <c r="F137" s="85">
        <v>3</v>
      </c>
      <c r="G137" s="19">
        <v>5</v>
      </c>
      <c r="H137" s="29">
        <f>F98*E49</f>
        <v>19.734912336764001</v>
      </c>
      <c r="I137" s="86">
        <f>H137+H138</f>
        <v>19.802923014234697</v>
      </c>
      <c r="K137" s="85">
        <v>3</v>
      </c>
      <c r="L137" s="19">
        <v>5</v>
      </c>
      <c r="M137" s="29">
        <f>F98*E50</f>
        <v>15.216544932554511</v>
      </c>
      <c r="N137" s="86">
        <f>M137+M138</f>
        <v>15.320601223335615</v>
      </c>
    </row>
    <row r="138" spans="1:14" x14ac:dyDescent="0.25">
      <c r="A138" s="85"/>
      <c r="B138" s="19">
        <v>6</v>
      </c>
      <c r="C138" s="29">
        <f>F99*E58</f>
        <v>0.11354822340778924</v>
      </c>
      <c r="D138" s="85"/>
      <c r="F138" s="85"/>
      <c r="G138" s="19">
        <v>6</v>
      </c>
      <c r="H138" s="29">
        <f>F99*E59</f>
        <v>6.8010677470696446E-2</v>
      </c>
      <c r="I138" s="85"/>
      <c r="K138" s="85"/>
      <c r="L138" s="19">
        <v>6</v>
      </c>
      <c r="M138" s="29">
        <f>F99*E60</f>
        <v>0.104056290781104</v>
      </c>
      <c r="N138" s="85"/>
    </row>
    <row r="139" spans="1:14" x14ac:dyDescent="0.25">
      <c r="A139" s="85">
        <v>4</v>
      </c>
      <c r="B139" s="19">
        <v>7</v>
      </c>
      <c r="C139" s="32">
        <f>F100*E68</f>
        <v>8.333201280717243E-3</v>
      </c>
      <c r="D139" s="86">
        <f>C139+C140+C141</f>
        <v>4.66536314715984E-2</v>
      </c>
      <c r="F139" s="85">
        <v>4</v>
      </c>
      <c r="G139" s="19">
        <v>7</v>
      </c>
      <c r="H139" s="32">
        <f>F100*E69</f>
        <v>3.6338969340254687E-3</v>
      </c>
      <c r="I139" s="86">
        <f>H139+H140+H141</f>
        <v>1.3709561718634404E-2</v>
      </c>
      <c r="K139" s="85">
        <v>4</v>
      </c>
      <c r="L139" s="19">
        <v>7</v>
      </c>
      <c r="M139" s="32">
        <f>F100*E70</f>
        <v>-4.3466225730017811E-3</v>
      </c>
      <c r="N139" s="86">
        <f>M139+M140+M141</f>
        <v>-1.072086830568194E-2</v>
      </c>
    </row>
    <row r="140" spans="1:14" x14ac:dyDescent="0.25">
      <c r="A140" s="85"/>
      <c r="B140" s="19">
        <v>8</v>
      </c>
      <c r="C140" s="29">
        <f>F101*E78</f>
        <v>1.3877344674786221E-2</v>
      </c>
      <c r="D140" s="85"/>
      <c r="F140" s="85"/>
      <c r="G140" s="19">
        <v>8</v>
      </c>
      <c r="H140" s="31">
        <f>F101*E79</f>
        <v>2.556811521226859E-3</v>
      </c>
      <c r="I140" s="85"/>
      <c r="K140" s="85"/>
      <c r="L140" s="19">
        <v>8</v>
      </c>
      <c r="M140" s="31">
        <f>F101*E80</f>
        <v>-2.181439383365649E-3</v>
      </c>
      <c r="N140" s="85"/>
    </row>
    <row r="141" spans="1:14" x14ac:dyDescent="0.25">
      <c r="A141" s="85"/>
      <c r="B141" s="19">
        <v>9</v>
      </c>
      <c r="C141" s="31">
        <f>F102*E88</f>
        <v>2.4443085516094934E-2</v>
      </c>
      <c r="D141" s="85"/>
      <c r="F141" s="85"/>
      <c r="G141" s="19">
        <v>9</v>
      </c>
      <c r="H141" s="31">
        <f>F102*E89</f>
        <v>7.5188532633820755E-3</v>
      </c>
      <c r="I141" s="85"/>
      <c r="K141" s="85"/>
      <c r="L141" s="19">
        <v>9</v>
      </c>
      <c r="M141" s="31">
        <f>F102*E90</f>
        <v>-4.1928063493145108E-3</v>
      </c>
      <c r="N141" s="85"/>
    </row>
    <row r="142" spans="1:14" ht="16.5" x14ac:dyDescent="0.25">
      <c r="A142" s="93" t="s">
        <v>118</v>
      </c>
      <c r="B142" s="93"/>
      <c r="C142" s="93"/>
      <c r="D142" s="28">
        <f>(D133+D135+D137+D139)*100</f>
        <v>689.3982837844236</v>
      </c>
      <c r="F142" s="93" t="s">
        <v>118</v>
      </c>
      <c r="G142" s="93"/>
      <c r="H142" s="93"/>
      <c r="I142" s="28">
        <f>(I133+I135+I137+I139)*100</f>
        <v>2031.0458076747377</v>
      </c>
      <c r="K142" s="93" t="s">
        <v>118</v>
      </c>
      <c r="L142" s="93"/>
      <c r="M142" s="93"/>
      <c r="N142" s="28">
        <f>(N133+N135+N137+N139)*100</f>
        <v>1568.1451743511668</v>
      </c>
    </row>
    <row r="144" spans="1:14" ht="19.5" x14ac:dyDescent="0.25">
      <c r="A144" s="90" t="s">
        <v>127</v>
      </c>
      <c r="B144" s="90"/>
      <c r="C144" s="90"/>
      <c r="D144" s="90"/>
    </row>
    <row r="145" spans="1:16" x14ac:dyDescent="0.25">
      <c r="A145" s="19" t="s">
        <v>97</v>
      </c>
      <c r="B145" s="19" t="s">
        <v>98</v>
      </c>
      <c r="C145" s="19" t="s">
        <v>100</v>
      </c>
      <c r="D145" s="19" t="s">
        <v>101</v>
      </c>
    </row>
    <row r="146" spans="1:16" x14ac:dyDescent="0.25">
      <c r="A146" s="85">
        <v>1</v>
      </c>
      <c r="B146" s="19">
        <v>1</v>
      </c>
      <c r="C146" s="29">
        <f>F94*E11</f>
        <v>0.1035348245388639</v>
      </c>
      <c r="D146" s="86">
        <f>C146+C147</f>
        <v>0.17604032016378524</v>
      </c>
    </row>
    <row r="147" spans="1:16" x14ac:dyDescent="0.25">
      <c r="A147" s="85"/>
      <c r="B147" s="19">
        <v>2</v>
      </c>
      <c r="C147" s="29">
        <f>F95*E21</f>
        <v>7.2505495624921354E-2</v>
      </c>
      <c r="D147" s="85"/>
    </row>
    <row r="148" spans="1:16" x14ac:dyDescent="0.25">
      <c r="A148" s="85">
        <v>2</v>
      </c>
      <c r="B148" s="19">
        <v>3</v>
      </c>
      <c r="C148" s="29">
        <f>F96*E31</f>
        <v>6.6038051782956672E-2</v>
      </c>
      <c r="D148" s="86">
        <f>C148+C149</f>
        <v>0.69369175651009385</v>
      </c>
    </row>
    <row r="149" spans="1:16" x14ac:dyDescent="0.25">
      <c r="A149" s="85"/>
      <c r="B149" s="19">
        <v>4</v>
      </c>
      <c r="C149" s="29">
        <f>F97*E41</f>
        <v>0.62765370472713722</v>
      </c>
      <c r="D149" s="85"/>
    </row>
    <row r="150" spans="1:16" x14ac:dyDescent="0.25">
      <c r="A150" s="85">
        <v>3</v>
      </c>
      <c r="B150" s="19">
        <v>5</v>
      </c>
      <c r="C150" s="29">
        <f>F98*E51</f>
        <v>0.97180176978606314</v>
      </c>
      <c r="D150" s="86">
        <f>C150+C151</f>
        <v>1.0741278212448839</v>
      </c>
    </row>
    <row r="151" spans="1:16" x14ac:dyDescent="0.25">
      <c r="A151" s="85"/>
      <c r="B151" s="19">
        <v>6</v>
      </c>
      <c r="C151" s="29">
        <f>F99*E61</f>
        <v>0.10232605145882084</v>
      </c>
      <c r="D151" s="85"/>
    </row>
    <row r="152" spans="1:16" x14ac:dyDescent="0.25">
      <c r="A152" s="85">
        <v>4</v>
      </c>
      <c r="B152" s="19">
        <v>7</v>
      </c>
      <c r="C152" s="32">
        <f>F100*E71</f>
        <v>-9.6000091912631161E-3</v>
      </c>
      <c r="D152" s="86">
        <f>C152+C153+C154</f>
        <v>-1.6378486823890023E-2</v>
      </c>
    </row>
    <row r="153" spans="1:16" x14ac:dyDescent="0.25">
      <c r="A153" s="85"/>
      <c r="B153" s="19">
        <v>8</v>
      </c>
      <c r="C153" s="31">
        <f>F101*E81</f>
        <v>-2.294260940139731E-3</v>
      </c>
      <c r="D153" s="85"/>
    </row>
    <row r="154" spans="1:16" x14ac:dyDescent="0.25">
      <c r="A154" s="85"/>
      <c r="B154" s="19">
        <v>9</v>
      </c>
      <c r="C154" s="31">
        <f>F102*E91</f>
        <v>-4.484216692487177E-3</v>
      </c>
      <c r="D154" s="85"/>
    </row>
    <row r="155" spans="1:16" ht="16.5" x14ac:dyDescent="0.25">
      <c r="A155" s="93" t="s">
        <v>118</v>
      </c>
      <c r="B155" s="93"/>
      <c r="C155" s="93"/>
      <c r="D155" s="28">
        <f>(D146+D148+D150+D152)*100</f>
        <v>192.74814110948731</v>
      </c>
    </row>
    <row r="159" spans="1:16" x14ac:dyDescent="0.25">
      <c r="D159" s="1"/>
      <c r="E159" s="1"/>
      <c r="F159" s="1"/>
      <c r="G159" s="1"/>
      <c r="H159" s="1"/>
      <c r="I159" s="1"/>
      <c r="J159" s="1"/>
      <c r="K159" s="1"/>
      <c r="L159" s="1"/>
      <c r="M159" s="1"/>
      <c r="N159" s="1"/>
      <c r="O159" s="1"/>
      <c r="P159" s="1"/>
    </row>
    <row r="160" spans="1:16" x14ac:dyDescent="0.25">
      <c r="D160" s="1"/>
      <c r="E160" s="1"/>
      <c r="F160" s="1"/>
      <c r="G160" s="1"/>
      <c r="H160" s="1"/>
      <c r="I160" s="1"/>
      <c r="J160" s="1"/>
      <c r="K160" s="1"/>
      <c r="L160" s="1"/>
      <c r="M160" s="1"/>
      <c r="N160" s="1"/>
      <c r="O160" s="1"/>
      <c r="P160" s="1"/>
    </row>
    <row r="161" spans="3:16" x14ac:dyDescent="0.25">
      <c r="D161" s="1"/>
      <c r="E161" s="1"/>
      <c r="F161" s="1"/>
      <c r="G161" s="1"/>
      <c r="H161" s="1"/>
      <c r="I161" s="1"/>
      <c r="J161" s="1"/>
      <c r="K161" s="1"/>
      <c r="L161" s="1"/>
      <c r="M161" s="1"/>
      <c r="N161" s="1"/>
      <c r="O161" s="1"/>
      <c r="P161" s="1"/>
    </row>
    <row r="162" spans="3:16" x14ac:dyDescent="0.25">
      <c r="D162" s="1"/>
      <c r="E162" s="1"/>
      <c r="F162" s="1"/>
      <c r="G162" s="1"/>
      <c r="H162" s="1"/>
      <c r="J162" s="1"/>
      <c r="K162" s="1"/>
      <c r="L162" s="1"/>
      <c r="M162" s="1"/>
      <c r="N162" s="1"/>
      <c r="O162" s="1"/>
      <c r="P162" s="1"/>
    </row>
    <row r="163" spans="3:16" x14ac:dyDescent="0.25">
      <c r="D163" s="1"/>
      <c r="E163" s="1"/>
      <c r="F163" s="1"/>
      <c r="G163" s="1"/>
      <c r="H163" s="1"/>
      <c r="I163" s="1"/>
      <c r="J163" s="1"/>
      <c r="K163" s="1"/>
      <c r="L163" s="1"/>
      <c r="M163" s="1"/>
      <c r="N163" s="1"/>
      <c r="O163" s="1"/>
      <c r="P163" s="1"/>
    </row>
    <row r="164" spans="3:16" x14ac:dyDescent="0.25">
      <c r="D164" s="1"/>
      <c r="E164" s="1"/>
      <c r="F164" s="1"/>
      <c r="G164" s="1"/>
      <c r="H164" s="1"/>
      <c r="I164" s="1"/>
      <c r="J164" s="1"/>
      <c r="K164" s="1"/>
      <c r="L164" s="1"/>
      <c r="M164" s="1"/>
      <c r="N164" s="1"/>
      <c r="O164" s="1"/>
      <c r="P164" s="1"/>
    </row>
    <row r="165" spans="3:16" x14ac:dyDescent="0.25">
      <c r="C165" s="1"/>
      <c r="D165" s="1"/>
      <c r="E165" s="1"/>
      <c r="F165" s="1"/>
      <c r="G165" s="1"/>
      <c r="H165" s="1"/>
      <c r="I165" s="1"/>
    </row>
    <row r="166" spans="3:16" x14ac:dyDescent="0.25">
      <c r="C166" s="1"/>
      <c r="D166" s="1"/>
      <c r="E166" s="1"/>
      <c r="F166" s="1"/>
      <c r="G166" s="1"/>
      <c r="H166" s="1"/>
    </row>
    <row r="167" spans="3:16" x14ac:dyDescent="0.25">
      <c r="C167" s="1"/>
      <c r="D167" s="1"/>
      <c r="E167" s="1"/>
      <c r="F167" s="1"/>
      <c r="G167" s="1"/>
      <c r="H167" s="1"/>
      <c r="I167" s="1"/>
    </row>
    <row r="168" spans="3:16" x14ac:dyDescent="0.25">
      <c r="C168" s="1"/>
      <c r="D168" s="1"/>
      <c r="E168" s="1"/>
      <c r="F168" s="1"/>
      <c r="G168" s="1"/>
      <c r="H168" s="1"/>
      <c r="I168" s="1"/>
    </row>
    <row r="169" spans="3:16" x14ac:dyDescent="0.25">
      <c r="C169" s="1"/>
      <c r="D169" s="1"/>
      <c r="E169" s="1"/>
      <c r="F169" s="1"/>
      <c r="G169" s="1"/>
      <c r="H169" s="1"/>
      <c r="I169" s="1"/>
    </row>
    <row r="170" spans="3:16" x14ac:dyDescent="0.25">
      <c r="C170" s="1"/>
      <c r="D170" s="1"/>
      <c r="E170" s="1"/>
      <c r="F170" s="1"/>
      <c r="G170" s="1"/>
      <c r="H170" s="1"/>
      <c r="I170" s="1"/>
    </row>
    <row r="171" spans="3:16" x14ac:dyDescent="0.25">
      <c r="C171" s="1"/>
      <c r="D171" s="1"/>
      <c r="E171" s="1"/>
    </row>
    <row r="172" spans="3:16" x14ac:dyDescent="0.25">
      <c r="C172" s="1"/>
      <c r="D172" s="1"/>
      <c r="E172" s="1"/>
    </row>
    <row r="173" spans="3:16" x14ac:dyDescent="0.25">
      <c r="C173" s="1"/>
      <c r="D173" s="1"/>
      <c r="E173" s="1"/>
    </row>
    <row r="174" spans="3:16" x14ac:dyDescent="0.25">
      <c r="C174" s="1"/>
      <c r="D174" s="1"/>
      <c r="E174" s="1"/>
    </row>
    <row r="175" spans="3:16" x14ac:dyDescent="0.25">
      <c r="C175" s="1"/>
      <c r="D175" s="1"/>
      <c r="E175" s="1"/>
    </row>
    <row r="176" spans="3:16" x14ac:dyDescent="0.25">
      <c r="C176" s="1"/>
      <c r="D176" s="1"/>
      <c r="E176" s="1"/>
    </row>
  </sheetData>
  <mergeCells count="342">
    <mergeCell ref="F137:F138"/>
    <mergeCell ref="I137:I138"/>
    <mergeCell ref="F139:F141"/>
    <mergeCell ref="I139:I141"/>
    <mergeCell ref="A155:C155"/>
    <mergeCell ref="K142:M142"/>
    <mergeCell ref="A144:D144"/>
    <mergeCell ref="A146:A147"/>
    <mergeCell ref="D146:D147"/>
    <mergeCell ref="A148:A149"/>
    <mergeCell ref="D148:D149"/>
    <mergeCell ref="A150:A151"/>
    <mergeCell ref="D150:D151"/>
    <mergeCell ref="A152:A154"/>
    <mergeCell ref="D152:D154"/>
    <mergeCell ref="A142:C142"/>
    <mergeCell ref="F142:H142"/>
    <mergeCell ref="K129:M129"/>
    <mergeCell ref="A131:D131"/>
    <mergeCell ref="A133:A134"/>
    <mergeCell ref="D133:D134"/>
    <mergeCell ref="A135:A136"/>
    <mergeCell ref="D135:D136"/>
    <mergeCell ref="A137:A138"/>
    <mergeCell ref="D137:D138"/>
    <mergeCell ref="A139:A141"/>
    <mergeCell ref="D139:D141"/>
    <mergeCell ref="K131:N131"/>
    <mergeCell ref="K133:K134"/>
    <mergeCell ref="N133:N134"/>
    <mergeCell ref="K135:K136"/>
    <mergeCell ref="N135:N136"/>
    <mergeCell ref="K137:K138"/>
    <mergeCell ref="N137:N138"/>
    <mergeCell ref="K139:K141"/>
    <mergeCell ref="N139:N141"/>
    <mergeCell ref="F131:I131"/>
    <mergeCell ref="F133:F134"/>
    <mergeCell ref="I133:I134"/>
    <mergeCell ref="F135:F136"/>
    <mergeCell ref="I135:I136"/>
    <mergeCell ref="K116:M116"/>
    <mergeCell ref="F118:I118"/>
    <mergeCell ref="F120:F121"/>
    <mergeCell ref="I120:I121"/>
    <mergeCell ref="F122:F123"/>
    <mergeCell ref="I122:I123"/>
    <mergeCell ref="F124:F125"/>
    <mergeCell ref="I124:I125"/>
    <mergeCell ref="F126:F128"/>
    <mergeCell ref="I126:I128"/>
    <mergeCell ref="K118:N118"/>
    <mergeCell ref="K120:K121"/>
    <mergeCell ref="N120:N121"/>
    <mergeCell ref="K122:K123"/>
    <mergeCell ref="N122:N123"/>
    <mergeCell ref="K124:K125"/>
    <mergeCell ref="N124:N125"/>
    <mergeCell ref="K126:K128"/>
    <mergeCell ref="N126:N128"/>
    <mergeCell ref="K105:N105"/>
    <mergeCell ref="K107:K108"/>
    <mergeCell ref="N107:N108"/>
    <mergeCell ref="K109:K110"/>
    <mergeCell ref="N109:N110"/>
    <mergeCell ref="K111:K112"/>
    <mergeCell ref="N111:N112"/>
    <mergeCell ref="K113:K115"/>
    <mergeCell ref="N113:N115"/>
    <mergeCell ref="A124:A125"/>
    <mergeCell ref="D124:D125"/>
    <mergeCell ref="A126:A128"/>
    <mergeCell ref="D126:D128"/>
    <mergeCell ref="A129:C129"/>
    <mergeCell ref="F105:I105"/>
    <mergeCell ref="F107:F108"/>
    <mergeCell ref="I107:I108"/>
    <mergeCell ref="F109:F110"/>
    <mergeCell ref="I109:I110"/>
    <mergeCell ref="F111:F112"/>
    <mergeCell ref="I111:I112"/>
    <mergeCell ref="F113:F115"/>
    <mergeCell ref="I113:I115"/>
    <mergeCell ref="F116:H116"/>
    <mergeCell ref="F129:H129"/>
    <mergeCell ref="A111:A112"/>
    <mergeCell ref="A113:A115"/>
    <mergeCell ref="A116:C116"/>
    <mergeCell ref="D111:D112"/>
    <mergeCell ref="D113:D115"/>
    <mergeCell ref="A118:D118"/>
    <mergeCell ref="A120:A121"/>
    <mergeCell ref="D120:D121"/>
    <mergeCell ref="A122:A123"/>
    <mergeCell ref="D122:D123"/>
    <mergeCell ref="H94:H95"/>
    <mergeCell ref="H96:H97"/>
    <mergeCell ref="H98:H99"/>
    <mergeCell ref="H100:H102"/>
    <mergeCell ref="A105:D105"/>
    <mergeCell ref="D107:D108"/>
    <mergeCell ref="A107:A108"/>
    <mergeCell ref="A109:A110"/>
    <mergeCell ref="D109:D110"/>
    <mergeCell ref="C96:E96"/>
    <mergeCell ref="C97:E97"/>
    <mergeCell ref="A96:B97"/>
    <mergeCell ref="C98:E98"/>
    <mergeCell ref="C99:E99"/>
    <mergeCell ref="A98:B99"/>
    <mergeCell ref="A100:B102"/>
    <mergeCell ref="C100:E100"/>
    <mergeCell ref="C101:E101"/>
    <mergeCell ref="C102:E102"/>
    <mergeCell ref="G82:J91"/>
    <mergeCell ref="K82:O86"/>
    <mergeCell ref="K87:O91"/>
    <mergeCell ref="A93:B93"/>
    <mergeCell ref="C93:E93"/>
    <mergeCell ref="C94:E94"/>
    <mergeCell ref="C95:E95"/>
    <mergeCell ref="A94:B95"/>
    <mergeCell ref="C91:D91"/>
    <mergeCell ref="A82:B91"/>
    <mergeCell ref="E82:F82"/>
    <mergeCell ref="E83:F83"/>
    <mergeCell ref="E84:F84"/>
    <mergeCell ref="E85:F85"/>
    <mergeCell ref="E86:F86"/>
    <mergeCell ref="E87:F87"/>
    <mergeCell ref="E88:F88"/>
    <mergeCell ref="E89:F89"/>
    <mergeCell ref="E90:F90"/>
    <mergeCell ref="E91:F91"/>
    <mergeCell ref="C82:D82"/>
    <mergeCell ref="C83:D83"/>
    <mergeCell ref="C84:D84"/>
    <mergeCell ref="C85:D85"/>
    <mergeCell ref="C86:D86"/>
    <mergeCell ref="C87:D87"/>
    <mergeCell ref="C88:D88"/>
    <mergeCell ref="C89:D89"/>
    <mergeCell ref="C90:D90"/>
    <mergeCell ref="A1:B1"/>
    <mergeCell ref="C1:D1"/>
    <mergeCell ref="E1:F1"/>
    <mergeCell ref="G1:J1"/>
    <mergeCell ref="A2:B11"/>
    <mergeCell ref="C12:D12"/>
    <mergeCell ref="C13:D13"/>
    <mergeCell ref="G12:J21"/>
    <mergeCell ref="A12:B21"/>
    <mergeCell ref="C16:D16"/>
    <mergeCell ref="C17:D17"/>
    <mergeCell ref="C18:D18"/>
    <mergeCell ref="A22:B31"/>
    <mergeCell ref="C22:D22"/>
    <mergeCell ref="C23:D23"/>
    <mergeCell ref="C24:D24"/>
    <mergeCell ref="C25:D25"/>
    <mergeCell ref="C26:D26"/>
    <mergeCell ref="C27:D27"/>
    <mergeCell ref="K1:O1"/>
    <mergeCell ref="K2:O6"/>
    <mergeCell ref="C6:D6"/>
    <mergeCell ref="C7:D7"/>
    <mergeCell ref="C9:D9"/>
    <mergeCell ref="E6:F6"/>
    <mergeCell ref="E7:F7"/>
    <mergeCell ref="E9:F9"/>
    <mergeCell ref="P1:U1"/>
    <mergeCell ref="C2:D2"/>
    <mergeCell ref="C3:D3"/>
    <mergeCell ref="C4:D4"/>
    <mergeCell ref="C5:D5"/>
    <mergeCell ref="E2:F2"/>
    <mergeCell ref="E3:F3"/>
    <mergeCell ref="E4:F4"/>
    <mergeCell ref="E5:F5"/>
    <mergeCell ref="K7:O11"/>
    <mergeCell ref="P2:U11"/>
    <mergeCell ref="K12:O16"/>
    <mergeCell ref="K17:O21"/>
    <mergeCell ref="C8:D8"/>
    <mergeCell ref="E8:F8"/>
    <mergeCell ref="G2:J11"/>
    <mergeCell ref="C10:D10"/>
    <mergeCell ref="C11:D11"/>
    <mergeCell ref="E10:F10"/>
    <mergeCell ref="E11:F11"/>
    <mergeCell ref="C19:D19"/>
    <mergeCell ref="C20:D20"/>
    <mergeCell ref="C21:D21"/>
    <mergeCell ref="E12:F12"/>
    <mergeCell ref="E13:F13"/>
    <mergeCell ref="E14:F14"/>
    <mergeCell ref="E15:F15"/>
    <mergeCell ref="E16:F16"/>
    <mergeCell ref="E17:F17"/>
    <mergeCell ref="E18:F18"/>
    <mergeCell ref="E19:F19"/>
    <mergeCell ref="E20:F20"/>
    <mergeCell ref="E21:F21"/>
    <mergeCell ref="C14:D14"/>
    <mergeCell ref="C15:D15"/>
    <mergeCell ref="C28:D28"/>
    <mergeCell ref="C29:D29"/>
    <mergeCell ref="C30:D30"/>
    <mergeCell ref="C31:D31"/>
    <mergeCell ref="G22:J31"/>
    <mergeCell ref="K22:O26"/>
    <mergeCell ref="K27:O31"/>
    <mergeCell ref="C32:D32"/>
    <mergeCell ref="C33:D33"/>
    <mergeCell ref="K32:O36"/>
    <mergeCell ref="E27:F27"/>
    <mergeCell ref="E28:F28"/>
    <mergeCell ref="E29:F29"/>
    <mergeCell ref="E30:F30"/>
    <mergeCell ref="E31:F31"/>
    <mergeCell ref="E22:F22"/>
    <mergeCell ref="E23:F23"/>
    <mergeCell ref="E24:F24"/>
    <mergeCell ref="E25:F25"/>
    <mergeCell ref="E26:F26"/>
    <mergeCell ref="E35:F35"/>
    <mergeCell ref="E36:F36"/>
    <mergeCell ref="E33:F33"/>
    <mergeCell ref="E34:F34"/>
    <mergeCell ref="E37:F37"/>
    <mergeCell ref="E38:F38"/>
    <mergeCell ref="E39:F39"/>
    <mergeCell ref="E40:F40"/>
    <mergeCell ref="E41:F41"/>
    <mergeCell ref="C34:D34"/>
    <mergeCell ref="C35:D35"/>
    <mergeCell ref="C36:D36"/>
    <mergeCell ref="C37:D37"/>
    <mergeCell ref="C38:D38"/>
    <mergeCell ref="E51:F51"/>
    <mergeCell ref="E52:F52"/>
    <mergeCell ref="G42:J51"/>
    <mergeCell ref="G52:J61"/>
    <mergeCell ref="K37:O41"/>
    <mergeCell ref="A42:B51"/>
    <mergeCell ref="C42:D42"/>
    <mergeCell ref="C43:D43"/>
    <mergeCell ref="C44:D44"/>
    <mergeCell ref="C45:D45"/>
    <mergeCell ref="C46:D46"/>
    <mergeCell ref="C47:D47"/>
    <mergeCell ref="C48:D48"/>
    <mergeCell ref="C49:D49"/>
    <mergeCell ref="C50:D50"/>
    <mergeCell ref="C51:D51"/>
    <mergeCell ref="K42:O46"/>
    <mergeCell ref="K47:O51"/>
    <mergeCell ref="C39:D39"/>
    <mergeCell ref="C40:D40"/>
    <mergeCell ref="C41:D41"/>
    <mergeCell ref="A32:B41"/>
    <mergeCell ref="G32:J41"/>
    <mergeCell ref="E32:F32"/>
    <mergeCell ref="E42:F42"/>
    <mergeCell ref="E43:F43"/>
    <mergeCell ref="E44:F44"/>
    <mergeCell ref="E45:F45"/>
    <mergeCell ref="E46:F46"/>
    <mergeCell ref="E47:F47"/>
    <mergeCell ref="E48:F48"/>
    <mergeCell ref="E49:F49"/>
    <mergeCell ref="E50:F50"/>
    <mergeCell ref="C58:D58"/>
    <mergeCell ref="C59:D59"/>
    <mergeCell ref="C60:D60"/>
    <mergeCell ref="C61:D61"/>
    <mergeCell ref="G62:J71"/>
    <mergeCell ref="K62:O66"/>
    <mergeCell ref="K67:O71"/>
    <mergeCell ref="A52:B61"/>
    <mergeCell ref="C53:D53"/>
    <mergeCell ref="C54:D54"/>
    <mergeCell ref="C55:D55"/>
    <mergeCell ref="C56:D56"/>
    <mergeCell ref="C57:D57"/>
    <mergeCell ref="C52:D52"/>
    <mergeCell ref="E58:F58"/>
    <mergeCell ref="E59:F59"/>
    <mergeCell ref="E60:F60"/>
    <mergeCell ref="E61:F61"/>
    <mergeCell ref="K52:O56"/>
    <mergeCell ref="K57:O61"/>
    <mergeCell ref="E53:F53"/>
    <mergeCell ref="E54:F54"/>
    <mergeCell ref="E55:F55"/>
    <mergeCell ref="E56:F56"/>
    <mergeCell ref="E57:F57"/>
    <mergeCell ref="A62:B71"/>
    <mergeCell ref="E62:F62"/>
    <mergeCell ref="E63:F63"/>
    <mergeCell ref="E64:F64"/>
    <mergeCell ref="E65:F65"/>
    <mergeCell ref="E66:F66"/>
    <mergeCell ref="E68:F68"/>
    <mergeCell ref="E67:F67"/>
    <mergeCell ref="E69:F69"/>
    <mergeCell ref="E70:F70"/>
    <mergeCell ref="E71:F71"/>
    <mergeCell ref="C67:D67"/>
    <mergeCell ref="C68:D68"/>
    <mergeCell ref="C69:D69"/>
    <mergeCell ref="C70:D70"/>
    <mergeCell ref="C71:D71"/>
    <mergeCell ref="C62:D62"/>
    <mergeCell ref="C63:D63"/>
    <mergeCell ref="C64:D64"/>
    <mergeCell ref="C65:D65"/>
    <mergeCell ref="C66:D66"/>
    <mergeCell ref="K77:O81"/>
    <mergeCell ref="C79:D79"/>
    <mergeCell ref="C80:D80"/>
    <mergeCell ref="C81:D81"/>
    <mergeCell ref="A72:B81"/>
    <mergeCell ref="G72:J81"/>
    <mergeCell ref="E72:F72"/>
    <mergeCell ref="E73:F73"/>
    <mergeCell ref="E74:F74"/>
    <mergeCell ref="E75:F75"/>
    <mergeCell ref="E76:F76"/>
    <mergeCell ref="E77:F77"/>
    <mergeCell ref="E78:F78"/>
    <mergeCell ref="E79:F79"/>
    <mergeCell ref="E80:F80"/>
    <mergeCell ref="E81:F81"/>
    <mergeCell ref="C74:D74"/>
    <mergeCell ref="C75:D75"/>
    <mergeCell ref="C76:D76"/>
    <mergeCell ref="C77:D77"/>
    <mergeCell ref="C78:D78"/>
    <mergeCell ref="C72:D72"/>
    <mergeCell ref="C73:D73"/>
    <mergeCell ref="K72:O76"/>
  </mergeCells>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30"/>
  <sheetViews>
    <sheetView showGridLines="0" tabSelected="1" workbookViewId="0">
      <selection sqref="A1:C1"/>
    </sheetView>
  </sheetViews>
  <sheetFormatPr baseColWidth="10" defaultRowHeight="15" x14ac:dyDescent="0.25"/>
  <sheetData>
    <row r="1" spans="1:24" ht="19.5" x14ac:dyDescent="0.25">
      <c r="A1" s="96" t="s">
        <v>128</v>
      </c>
      <c r="B1" s="96"/>
      <c r="C1" s="96"/>
    </row>
    <row r="3" spans="1:24" ht="16.5" x14ac:dyDescent="0.3">
      <c r="A3" s="15" t="s">
        <v>129</v>
      </c>
      <c r="B3" s="93" t="s">
        <v>130</v>
      </c>
      <c r="C3" s="93"/>
      <c r="D3" s="93"/>
      <c r="E3" s="93" t="s">
        <v>131</v>
      </c>
      <c r="F3" s="93"/>
      <c r="G3" s="93" t="s">
        <v>104</v>
      </c>
      <c r="H3" s="93"/>
      <c r="I3" s="93" t="s">
        <v>108</v>
      </c>
      <c r="J3" s="93"/>
      <c r="K3" s="93" t="s">
        <v>111</v>
      </c>
      <c r="L3" s="93"/>
      <c r="M3" s="93" t="s">
        <v>132</v>
      </c>
      <c r="N3" s="93"/>
      <c r="O3" s="93" t="s">
        <v>133</v>
      </c>
      <c r="P3" s="93"/>
      <c r="Q3" s="93" t="s">
        <v>134</v>
      </c>
      <c r="R3" s="93"/>
      <c r="S3" s="93" t="s">
        <v>135</v>
      </c>
      <c r="T3" s="93"/>
      <c r="U3" s="94" t="s">
        <v>50</v>
      </c>
      <c r="V3" s="94"/>
      <c r="W3" s="95" t="s">
        <v>136</v>
      </c>
      <c r="X3" s="95"/>
    </row>
    <row r="4" spans="1:24" x14ac:dyDescent="0.25">
      <c r="A4" s="21">
        <v>1</v>
      </c>
      <c r="B4" s="100" t="s">
        <v>19</v>
      </c>
      <c r="C4" s="100"/>
      <c r="D4" s="100"/>
      <c r="E4" s="99">
        <f>Desarrollo!N129</f>
        <v>14298.802536434827</v>
      </c>
      <c r="F4" s="100"/>
      <c r="G4" s="99">
        <f>Desarrollo!N120</f>
        <v>2.204553687628299</v>
      </c>
      <c r="H4" s="100"/>
      <c r="I4" s="99">
        <f>Desarrollo!N122</f>
        <v>0.39060493053456263</v>
      </c>
      <c r="J4" s="100"/>
      <c r="K4" s="99">
        <f>Desarrollo!N124</f>
        <v>140.44770833747944</v>
      </c>
      <c r="L4" s="100"/>
      <c r="M4" s="99">
        <f>Desarrollo!N126</f>
        <v>-5.4841591294039718E-2</v>
      </c>
      <c r="N4" s="100"/>
      <c r="O4" s="101">
        <f>Datos!$C$13</f>
        <v>3286240</v>
      </c>
      <c r="P4" s="100"/>
      <c r="Q4" s="101">
        <f>Datos!$O$16</f>
        <v>2545030</v>
      </c>
      <c r="R4" s="100"/>
      <c r="S4" s="101">
        <f>Datos!K28</f>
        <v>741210</v>
      </c>
      <c r="T4" s="100"/>
      <c r="U4" s="101">
        <f>Datos!C49</f>
        <v>1315245</v>
      </c>
      <c r="V4" s="100"/>
      <c r="W4" s="101">
        <f>Datos!O47</f>
        <v>-315329</v>
      </c>
      <c r="X4" s="100"/>
    </row>
    <row r="5" spans="1:24" x14ac:dyDescent="0.25">
      <c r="A5" s="23">
        <v>2</v>
      </c>
      <c r="B5" s="98" t="s">
        <v>15</v>
      </c>
      <c r="C5" s="98"/>
      <c r="D5" s="98"/>
      <c r="E5" s="97">
        <f>Desarrollo!D129</f>
        <v>3258.4475463426102</v>
      </c>
      <c r="F5" s="98"/>
      <c r="G5" s="97">
        <f>Desarrollo!D120</f>
        <v>0.23974387136648895</v>
      </c>
      <c r="H5" s="98"/>
      <c r="I5" s="97">
        <f>Desarrollo!D122</f>
        <v>0.13090746469184467</v>
      </c>
      <c r="J5" s="98"/>
      <c r="K5" s="97">
        <f>Desarrollo!D124</f>
        <v>32.198173841623479</v>
      </c>
      <c r="L5" s="98"/>
      <c r="M5" s="97">
        <f>Desarrollo!D126</f>
        <v>1.5650285744295004E-2</v>
      </c>
      <c r="N5" s="98"/>
      <c r="O5" s="102">
        <f>Datos!$C$12</f>
        <v>23661280</v>
      </c>
      <c r="P5" s="98"/>
      <c r="Q5" s="102">
        <f>Datos!$O$17</f>
        <v>7228891</v>
      </c>
      <c r="R5" s="98"/>
      <c r="S5" s="102">
        <f>Datos!K31</f>
        <v>16432389</v>
      </c>
      <c r="T5" s="98"/>
      <c r="U5" s="102">
        <f>Datos!C47</f>
        <v>13392428</v>
      </c>
      <c r="V5" s="98"/>
      <c r="W5" s="102">
        <f>Datos!O46</f>
        <v>1062045</v>
      </c>
      <c r="X5" s="98"/>
    </row>
    <row r="6" spans="1:24" x14ac:dyDescent="0.25">
      <c r="A6" s="21">
        <v>3</v>
      </c>
      <c r="B6" s="100" t="s">
        <v>39</v>
      </c>
      <c r="C6" s="100"/>
      <c r="D6" s="100"/>
      <c r="E6" s="99">
        <f>Desarrollo!N116</f>
        <v>2518.5179996563143</v>
      </c>
      <c r="F6" s="100"/>
      <c r="G6" s="99">
        <f>Desarrollo!N107</f>
        <v>0.15701994782351131</v>
      </c>
      <c r="H6" s="100"/>
      <c r="I6" s="99">
        <f>Desarrollo!N109</f>
        <v>0.50471725551082036</v>
      </c>
      <c r="J6" s="100"/>
      <c r="K6" s="99">
        <f>Desarrollo!N111</f>
        <v>24.495878915182459</v>
      </c>
      <c r="L6" s="100"/>
      <c r="M6" s="99">
        <f>Desarrollo!N113</f>
        <v>2.7563878046352484E-2</v>
      </c>
      <c r="N6" s="100"/>
      <c r="O6" s="101">
        <f>Datos!$C$11</f>
        <v>28155802</v>
      </c>
      <c r="P6" s="100"/>
      <c r="Q6" s="101">
        <f>Datos!O19</f>
        <v>24534895</v>
      </c>
      <c r="R6" s="100"/>
      <c r="S6" s="101">
        <f>Datos!K30</f>
        <v>3620907</v>
      </c>
      <c r="T6" s="100"/>
      <c r="U6" s="101">
        <f>Datos!C48</f>
        <v>12788484</v>
      </c>
      <c r="V6" s="100"/>
      <c r="W6" s="101">
        <f>Datos!O45</f>
        <v>1094678</v>
      </c>
      <c r="X6" s="100"/>
    </row>
    <row r="7" spans="1:24" x14ac:dyDescent="0.25">
      <c r="A7" s="23">
        <v>4</v>
      </c>
      <c r="B7" s="98" t="s">
        <v>23</v>
      </c>
      <c r="C7" s="98"/>
      <c r="D7" s="98"/>
      <c r="E7" s="97">
        <f>Desarrollo!I142</f>
        <v>2031.0458076747377</v>
      </c>
      <c r="F7" s="98"/>
      <c r="G7" s="97">
        <f>Desarrollo!I133</f>
        <v>0.23202134220803211</v>
      </c>
      <c r="H7" s="98"/>
      <c r="I7" s="97">
        <f>Desarrollo!I135</f>
        <v>0.26180415858601408</v>
      </c>
      <c r="J7" s="98"/>
      <c r="K7" s="97">
        <f>Desarrollo!I137</f>
        <v>19.802923014234697</v>
      </c>
      <c r="L7" s="98"/>
      <c r="M7" s="97">
        <f>Desarrollo!I139</f>
        <v>1.3709561718634404E-2</v>
      </c>
      <c r="N7" s="98"/>
      <c r="O7" s="102">
        <f>Datos!$C$6</f>
        <v>297842447</v>
      </c>
      <c r="P7" s="98"/>
      <c r="Q7" s="102">
        <f>Datos!O23</f>
        <v>193061407</v>
      </c>
      <c r="R7" s="98"/>
      <c r="S7" s="102">
        <f>Datos!K36</f>
        <v>104781040</v>
      </c>
      <c r="T7" s="98"/>
      <c r="U7" s="102">
        <f>Datos!C42</f>
        <v>101282333</v>
      </c>
      <c r="V7" s="98"/>
      <c r="W7" s="102">
        <f>Datos!O43</f>
        <v>7615270</v>
      </c>
      <c r="X7" s="98"/>
    </row>
    <row r="8" spans="1:24" x14ac:dyDescent="0.25">
      <c r="A8" s="21">
        <v>5</v>
      </c>
      <c r="B8" s="100" t="s">
        <v>25</v>
      </c>
      <c r="C8" s="100"/>
      <c r="D8" s="100"/>
      <c r="E8" s="99">
        <f>Desarrollo!N142</f>
        <v>1568.1451743511668</v>
      </c>
      <c r="F8" s="100"/>
      <c r="G8" s="99">
        <f>Desarrollo!N133</f>
        <v>8.5444074581649251E-2</v>
      </c>
      <c r="H8" s="100"/>
      <c r="I8" s="99">
        <f>Desarrollo!N135</f>
        <v>0.28612731390008739</v>
      </c>
      <c r="J8" s="100"/>
      <c r="K8" s="99">
        <f>Desarrollo!N137</f>
        <v>15.320601223335615</v>
      </c>
      <c r="L8" s="100"/>
      <c r="M8" s="99">
        <f>Desarrollo!N139</f>
        <v>-1.072086830568194E-2</v>
      </c>
      <c r="N8" s="100"/>
      <c r="O8" s="101">
        <f>Datos!$C$7</f>
        <v>184132460</v>
      </c>
      <c r="P8" s="100"/>
      <c r="Q8" s="101">
        <f>Datos!O22</f>
        <v>137927183</v>
      </c>
      <c r="R8" s="100"/>
      <c r="S8" s="101">
        <f>Datos!K33</f>
        <v>46205277</v>
      </c>
      <c r="T8" s="100"/>
      <c r="U8" s="101">
        <f>Datos!C44</f>
        <v>95800704</v>
      </c>
      <c r="V8" s="100"/>
      <c r="W8" s="101">
        <f>Datos!O49</f>
        <v>-4016738</v>
      </c>
      <c r="X8" s="100"/>
    </row>
    <row r="9" spans="1:24" x14ac:dyDescent="0.25">
      <c r="A9" s="23">
        <v>6</v>
      </c>
      <c r="B9" s="98" t="s">
        <v>38</v>
      </c>
      <c r="C9" s="98"/>
      <c r="D9" s="98"/>
      <c r="E9" s="97">
        <f>Desarrollo!D142</f>
        <v>689.3982837844236</v>
      </c>
      <c r="F9" s="98"/>
      <c r="G9" s="97">
        <f>Desarrollo!D133</f>
        <v>0.14964707246199571</v>
      </c>
      <c r="H9" s="98"/>
      <c r="I9" s="97">
        <f>Desarrollo!D135</f>
        <v>0.11352293712890976</v>
      </c>
      <c r="J9" s="98"/>
      <c r="K9" s="97">
        <f>Desarrollo!D137</f>
        <v>6.5841591967817319</v>
      </c>
      <c r="L9" s="98"/>
      <c r="M9" s="97">
        <f>Desarrollo!D139</f>
        <v>4.66536314715984E-2</v>
      </c>
      <c r="N9" s="98"/>
      <c r="O9" s="102">
        <f>Datos!$C$9</f>
        <v>34408290</v>
      </c>
      <c r="P9" s="98"/>
      <c r="Q9" s="102">
        <f>Datos!O18</f>
        <v>10758094</v>
      </c>
      <c r="R9" s="98"/>
      <c r="S9" s="102">
        <f>Datos!K32</f>
        <v>28650196</v>
      </c>
      <c r="T9" s="98"/>
      <c r="U9" s="102">
        <f>Datos!C45</f>
        <v>19535001</v>
      </c>
      <c r="V9" s="98"/>
      <c r="W9" s="102">
        <f>Datos!O44</f>
        <v>4774957</v>
      </c>
      <c r="X9" s="98"/>
    </row>
    <row r="10" spans="1:24" x14ac:dyDescent="0.25">
      <c r="A10" s="21">
        <v>7</v>
      </c>
      <c r="B10" s="100" t="s">
        <v>36</v>
      </c>
      <c r="C10" s="100"/>
      <c r="D10" s="100"/>
      <c r="E10" s="99">
        <f>Desarrollo!I116</f>
        <v>591.04728068156624</v>
      </c>
      <c r="F10" s="100"/>
      <c r="G10" s="99">
        <f>Desarrollo!I107</f>
        <v>0.14866984879962603</v>
      </c>
      <c r="H10" s="100"/>
      <c r="I10" s="99">
        <f>Desarrollo!I109</f>
        <v>0.52344952879380169</v>
      </c>
      <c r="J10" s="100"/>
      <c r="K10" s="99">
        <f>Desarrollo!I111</f>
        <v>5.2188800802146051</v>
      </c>
      <c r="L10" s="100"/>
      <c r="M10" s="99">
        <f>Desarrollo!I113</f>
        <v>1.9473349007629936E-2</v>
      </c>
      <c r="N10" s="100"/>
      <c r="O10" s="103">
        <f>Datos!$C$4</f>
        <v>1413891364</v>
      </c>
      <c r="P10" s="104"/>
      <c r="Q10" s="103">
        <f>Datos!O25</f>
        <v>1183696010</v>
      </c>
      <c r="R10" s="104"/>
      <c r="S10" s="101">
        <f>Datos!K37</f>
        <v>230195354</v>
      </c>
      <c r="T10" s="100"/>
      <c r="U10" s="103">
        <f>Datos!C40</f>
        <v>1020819835</v>
      </c>
      <c r="V10" s="104"/>
      <c r="W10" s="101">
        <f>Datos!O40</f>
        <v>50462937</v>
      </c>
      <c r="X10" s="100"/>
    </row>
    <row r="11" spans="1:24" x14ac:dyDescent="0.25">
      <c r="A11" s="23">
        <v>8</v>
      </c>
      <c r="B11" s="98" t="s">
        <v>35</v>
      </c>
      <c r="C11" s="98"/>
      <c r="D11" s="98"/>
      <c r="E11" s="97">
        <f>Desarrollo!D116</f>
        <v>214.96585568874568</v>
      </c>
      <c r="F11" s="98"/>
      <c r="G11" s="97">
        <f>Desarrollo!D107</f>
        <v>0.18007125881401287</v>
      </c>
      <c r="H11" s="98"/>
      <c r="I11" s="97">
        <f>Desarrollo!D109</f>
        <v>0.33746683492263874</v>
      </c>
      <c r="J11" s="98"/>
      <c r="K11" s="97">
        <f>Desarrollo!D111</f>
        <v>1.6132199698374823</v>
      </c>
      <c r="L11" s="98"/>
      <c r="M11" s="97">
        <f>Desarrollo!D113</f>
        <v>1.8900493313323066E-2</v>
      </c>
      <c r="N11" s="98"/>
      <c r="O11" s="102">
        <f>Datos!$C$5</f>
        <v>369828360</v>
      </c>
      <c r="P11" s="98"/>
      <c r="Q11" s="102">
        <f>Datos!O24</f>
        <v>271604325</v>
      </c>
      <c r="R11" s="98"/>
      <c r="S11" s="102">
        <f>Datos!K35</f>
        <v>98224035</v>
      </c>
      <c r="T11" s="98"/>
      <c r="U11" s="102">
        <f>Datos!C41</f>
        <v>366432032</v>
      </c>
      <c r="V11" s="98"/>
      <c r="W11" s="102">
        <f>Datos!O41</f>
        <v>17960478</v>
      </c>
      <c r="X11" s="98"/>
    </row>
    <row r="12" spans="1:24" x14ac:dyDescent="0.25">
      <c r="A12" s="21">
        <v>9</v>
      </c>
      <c r="B12" s="100" t="s">
        <v>27</v>
      </c>
      <c r="C12" s="100"/>
      <c r="D12" s="100"/>
      <c r="E12" s="99">
        <f>Desarrollo!D155</f>
        <v>192.74814110948731</v>
      </c>
      <c r="F12" s="100"/>
      <c r="G12" s="99">
        <f>Desarrollo!D146</f>
        <v>0.17604032016378524</v>
      </c>
      <c r="H12" s="100"/>
      <c r="I12" s="99">
        <f>Desarrollo!D148</f>
        <v>0.69369175651009385</v>
      </c>
      <c r="J12" s="100"/>
      <c r="K12" s="99">
        <f>Desarrollo!D150</f>
        <v>1.0741278212448839</v>
      </c>
      <c r="L12" s="100"/>
      <c r="M12" s="99">
        <f>Desarrollo!D152</f>
        <v>-1.6378486823890023E-2</v>
      </c>
      <c r="N12" s="100"/>
      <c r="O12" s="101">
        <f>Datos!$C$10</f>
        <v>28407841</v>
      </c>
      <c r="P12" s="100"/>
      <c r="Q12" s="101">
        <f>Datos!O20</f>
        <v>25013313</v>
      </c>
      <c r="R12" s="100"/>
      <c r="S12" s="101">
        <f>Datos!K29</f>
        <v>3394528</v>
      </c>
      <c r="T12" s="100"/>
      <c r="U12" s="101">
        <f>Datos!C46</f>
        <v>14534311</v>
      </c>
      <c r="V12" s="100"/>
      <c r="W12" s="101">
        <f>Datos!O48</f>
        <v>-651750</v>
      </c>
      <c r="X12" s="100"/>
    </row>
    <row r="13" spans="1:24" x14ac:dyDescent="0.25">
      <c r="A13" s="23">
        <v>10</v>
      </c>
      <c r="B13" s="98" t="s">
        <v>37</v>
      </c>
      <c r="C13" s="98"/>
      <c r="D13" s="98"/>
      <c r="E13" s="97">
        <f>Desarrollo!I129</f>
        <v>177.09038744583211</v>
      </c>
      <c r="F13" s="98"/>
      <c r="G13" s="97">
        <f>Desarrollo!I120</f>
        <v>0.38395778995982</v>
      </c>
      <c r="H13" s="98"/>
      <c r="I13" s="97">
        <f>Desarrollo!I122</f>
        <v>0.13537977645694357</v>
      </c>
      <c r="J13" s="98"/>
      <c r="K13" s="97">
        <f>Desarrollo!I124</f>
        <v>1.2281740227841946</v>
      </c>
      <c r="L13" s="98"/>
      <c r="M13" s="97">
        <f>Desarrollo!I126</f>
        <v>2.3392285257362894E-2</v>
      </c>
      <c r="N13" s="98"/>
      <c r="O13" s="102">
        <f>Datos!$C$8</f>
        <v>137889196</v>
      </c>
      <c r="P13" s="98"/>
      <c r="Q13" s="102">
        <f>Datos!O21</f>
        <v>44711563</v>
      </c>
      <c r="R13" s="98"/>
      <c r="S13" s="102">
        <f>Datos!K34</f>
        <v>93117633</v>
      </c>
      <c r="T13" s="98"/>
      <c r="U13" s="102">
        <f>Datos!C43</f>
        <v>96639833</v>
      </c>
      <c r="V13" s="98"/>
      <c r="W13" s="102">
        <f>Datos!O42</f>
        <v>10184085</v>
      </c>
      <c r="X13" s="98"/>
    </row>
    <row r="15" spans="1:24" x14ac:dyDescent="0.25">
      <c r="D15" s="1"/>
      <c r="E15" s="1"/>
      <c r="F15" s="1"/>
      <c r="G15" s="1"/>
      <c r="H15" s="1"/>
    </row>
    <row r="16" spans="1:24" x14ac:dyDescent="0.25">
      <c r="D16" s="1"/>
      <c r="E16" s="1"/>
      <c r="F16" s="1"/>
      <c r="G16" s="1"/>
      <c r="H16" s="1"/>
    </row>
    <row r="17" spans="3:14" x14ac:dyDescent="0.25">
      <c r="D17" s="1"/>
      <c r="E17" s="1"/>
      <c r="F17" s="1"/>
      <c r="G17" s="1"/>
      <c r="H17" s="1"/>
    </row>
    <row r="18" spans="3:14" x14ac:dyDescent="0.25">
      <c r="D18" s="1"/>
      <c r="E18" s="1"/>
      <c r="F18" s="1"/>
      <c r="G18" s="1"/>
      <c r="H18" s="1"/>
      <c r="I18" s="1"/>
      <c r="J18" s="1"/>
      <c r="K18" s="1"/>
    </row>
    <row r="19" spans="3:14" x14ac:dyDescent="0.25">
      <c r="D19" s="1"/>
      <c r="E19" s="1"/>
      <c r="F19" s="1"/>
      <c r="G19" s="1"/>
      <c r="H19" s="1"/>
      <c r="I19" s="1"/>
      <c r="J19" s="1"/>
      <c r="K19" s="1"/>
    </row>
    <row r="20" spans="3:14" x14ac:dyDescent="0.25">
      <c r="D20" s="1"/>
      <c r="E20" s="1"/>
      <c r="F20" s="1"/>
      <c r="G20" s="1"/>
      <c r="H20" s="1"/>
      <c r="I20" s="1"/>
      <c r="J20" s="1"/>
      <c r="K20" s="1"/>
    </row>
    <row r="21" spans="3:14" x14ac:dyDescent="0.25">
      <c r="C21" s="1"/>
      <c r="D21" s="1"/>
      <c r="E21" s="1"/>
      <c r="F21" s="1"/>
      <c r="G21" s="1"/>
      <c r="H21" s="1"/>
      <c r="I21" s="1"/>
      <c r="J21" s="1"/>
    </row>
    <row r="22" spans="3:14" x14ac:dyDescent="0.25">
      <c r="C22" s="1"/>
      <c r="D22" s="1"/>
      <c r="E22" s="1"/>
      <c r="F22" s="1"/>
      <c r="G22" s="1"/>
      <c r="H22" s="1"/>
      <c r="I22" s="1"/>
      <c r="J22" s="1"/>
      <c r="K22" s="1"/>
    </row>
    <row r="23" spans="3:14" x14ac:dyDescent="0.25">
      <c r="C23" s="1"/>
      <c r="D23" s="1"/>
      <c r="E23" s="1"/>
      <c r="F23" s="1"/>
      <c r="G23" s="1"/>
      <c r="H23" s="1"/>
      <c r="I23" s="1"/>
      <c r="J23" s="1"/>
      <c r="K23" s="1"/>
    </row>
    <row r="24" spans="3:14" x14ac:dyDescent="0.25">
      <c r="C24" s="1"/>
      <c r="D24" s="1"/>
      <c r="E24" s="1"/>
      <c r="F24" s="1"/>
      <c r="G24" s="1"/>
      <c r="H24" s="1"/>
      <c r="I24" s="1"/>
      <c r="J24" s="1"/>
      <c r="K24" s="1"/>
    </row>
    <row r="25" spans="3:14" x14ac:dyDescent="0.25">
      <c r="C25" s="1"/>
      <c r="D25" s="1"/>
      <c r="E25" s="1"/>
      <c r="F25" s="1"/>
      <c r="G25" s="1"/>
      <c r="H25" s="1"/>
      <c r="I25" s="1"/>
      <c r="J25" s="1"/>
      <c r="L25" s="1"/>
      <c r="M25" s="1"/>
      <c r="N25" s="1"/>
    </row>
    <row r="26" spans="3:14" x14ac:dyDescent="0.25">
      <c r="C26" s="1"/>
      <c r="D26" s="1"/>
      <c r="E26" s="1"/>
      <c r="F26" s="1"/>
      <c r="G26" s="1"/>
      <c r="H26" s="1"/>
      <c r="I26" s="1"/>
      <c r="J26" s="1"/>
      <c r="K26" s="1"/>
      <c r="L26" s="1"/>
      <c r="M26" s="1"/>
      <c r="N26" s="1"/>
    </row>
    <row r="27" spans="3:14" x14ac:dyDescent="0.25">
      <c r="C27" s="1"/>
      <c r="D27" s="1"/>
      <c r="E27" s="1"/>
      <c r="I27" s="1"/>
      <c r="J27" s="1"/>
      <c r="K27" s="1"/>
      <c r="L27" s="1"/>
      <c r="M27" s="1"/>
      <c r="N27" s="1"/>
    </row>
    <row r="28" spans="3:14" x14ac:dyDescent="0.25">
      <c r="I28" s="1"/>
      <c r="J28" s="1"/>
      <c r="K28" s="1"/>
      <c r="L28" s="1"/>
      <c r="M28" s="1"/>
      <c r="N28" s="1"/>
    </row>
    <row r="29" spans="3:14" x14ac:dyDescent="0.25">
      <c r="I29" s="1"/>
      <c r="J29" s="1"/>
      <c r="K29" s="1"/>
      <c r="L29" s="1"/>
      <c r="M29" s="1"/>
      <c r="N29" s="1"/>
    </row>
    <row r="30" spans="3:14" x14ac:dyDescent="0.25">
      <c r="L30" s="1"/>
      <c r="M30" s="1"/>
      <c r="N30" s="1"/>
    </row>
  </sheetData>
  <mergeCells count="122">
    <mergeCell ref="S13:T13"/>
    <mergeCell ref="U4:V4"/>
    <mergeCell ref="U5:V5"/>
    <mergeCell ref="U6:V6"/>
    <mergeCell ref="U7:V7"/>
    <mergeCell ref="U8:V8"/>
    <mergeCell ref="U9:V9"/>
    <mergeCell ref="W10:X10"/>
    <mergeCell ref="W11:X11"/>
    <mergeCell ref="W12:X12"/>
    <mergeCell ref="W13:X13"/>
    <mergeCell ref="U10:V10"/>
    <mergeCell ref="U11:V11"/>
    <mergeCell ref="U12:V12"/>
    <mergeCell ref="U13:V13"/>
    <mergeCell ref="W4:X4"/>
    <mergeCell ref="W5:X5"/>
    <mergeCell ref="W6:X6"/>
    <mergeCell ref="W7:X7"/>
    <mergeCell ref="W8:X8"/>
    <mergeCell ref="W9:X9"/>
    <mergeCell ref="S4:T4"/>
    <mergeCell ref="S5:T5"/>
    <mergeCell ref="S6:T6"/>
    <mergeCell ref="S7:T7"/>
    <mergeCell ref="S8:T8"/>
    <mergeCell ref="S9:T9"/>
    <mergeCell ref="S10:T10"/>
    <mergeCell ref="S11:T11"/>
    <mergeCell ref="S12:T12"/>
    <mergeCell ref="O13:P13"/>
    <mergeCell ref="Q4:R4"/>
    <mergeCell ref="Q5:R5"/>
    <mergeCell ref="Q6:R6"/>
    <mergeCell ref="Q7:R7"/>
    <mergeCell ref="Q8:R8"/>
    <mergeCell ref="Q9:R9"/>
    <mergeCell ref="Q10:R10"/>
    <mergeCell ref="Q11:R11"/>
    <mergeCell ref="Q12:R12"/>
    <mergeCell ref="Q13:R13"/>
    <mergeCell ref="O4:P4"/>
    <mergeCell ref="O5:P5"/>
    <mergeCell ref="O6:P6"/>
    <mergeCell ref="O7:P7"/>
    <mergeCell ref="O8:P8"/>
    <mergeCell ref="O9:P9"/>
    <mergeCell ref="O10:P10"/>
    <mergeCell ref="O11:P11"/>
    <mergeCell ref="O12:P12"/>
    <mergeCell ref="K13:L13"/>
    <mergeCell ref="M4:N4"/>
    <mergeCell ref="M5:N5"/>
    <mergeCell ref="M6:N6"/>
    <mergeCell ref="M7:N7"/>
    <mergeCell ref="M8:N8"/>
    <mergeCell ref="M9:N9"/>
    <mergeCell ref="M10:N10"/>
    <mergeCell ref="M11:N11"/>
    <mergeCell ref="M12:N12"/>
    <mergeCell ref="M13:N13"/>
    <mergeCell ref="K4:L4"/>
    <mergeCell ref="K5:L5"/>
    <mergeCell ref="K6:L6"/>
    <mergeCell ref="K7:L7"/>
    <mergeCell ref="K8:L8"/>
    <mergeCell ref="K9:L9"/>
    <mergeCell ref="K10:L10"/>
    <mergeCell ref="K11:L11"/>
    <mergeCell ref="K12:L12"/>
    <mergeCell ref="G10:H10"/>
    <mergeCell ref="G11:H11"/>
    <mergeCell ref="G12:H12"/>
    <mergeCell ref="G13:H13"/>
    <mergeCell ref="I4:J4"/>
    <mergeCell ref="I5:J5"/>
    <mergeCell ref="I6:J6"/>
    <mergeCell ref="I7:J7"/>
    <mergeCell ref="I8:J8"/>
    <mergeCell ref="I9:J9"/>
    <mergeCell ref="G4:H4"/>
    <mergeCell ref="G5:H5"/>
    <mergeCell ref="G6:H6"/>
    <mergeCell ref="G7:H7"/>
    <mergeCell ref="G8:H8"/>
    <mergeCell ref="G9:H9"/>
    <mergeCell ref="I10:J10"/>
    <mergeCell ref="I11:J11"/>
    <mergeCell ref="I12:J12"/>
    <mergeCell ref="I13:J13"/>
    <mergeCell ref="E13:F13"/>
    <mergeCell ref="E4:F4"/>
    <mergeCell ref="E9:F9"/>
    <mergeCell ref="E7:F7"/>
    <mergeCell ref="E8:F8"/>
    <mergeCell ref="E12:F12"/>
    <mergeCell ref="E6:F6"/>
    <mergeCell ref="E5:F5"/>
    <mergeCell ref="B9:D9"/>
    <mergeCell ref="B7:D7"/>
    <mergeCell ref="B8:D8"/>
    <mergeCell ref="B12:D12"/>
    <mergeCell ref="E11:F11"/>
    <mergeCell ref="E10:F10"/>
    <mergeCell ref="B11:D11"/>
    <mergeCell ref="B10:D10"/>
    <mergeCell ref="B6:D6"/>
    <mergeCell ref="B5:D5"/>
    <mergeCell ref="B13:D13"/>
    <mergeCell ref="B4:D4"/>
    <mergeCell ref="M3:N3"/>
    <mergeCell ref="O3:P3"/>
    <mergeCell ref="Q3:R3"/>
    <mergeCell ref="S3:T3"/>
    <mergeCell ref="U3:V3"/>
    <mergeCell ref="W3:X3"/>
    <mergeCell ref="A1:C1"/>
    <mergeCell ref="B3:D3"/>
    <mergeCell ref="E3:F3"/>
    <mergeCell ref="G3:H3"/>
    <mergeCell ref="I3:J3"/>
    <mergeCell ref="K3:L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2"/>
  <sheetViews>
    <sheetView showGridLines="0" topLeftCell="A3" workbookViewId="0">
      <selection sqref="A1:B1"/>
    </sheetView>
  </sheetViews>
  <sheetFormatPr baseColWidth="10" defaultRowHeight="15" x14ac:dyDescent="0.25"/>
  <sheetData>
    <row r="1" spans="1:16" ht="16.5" x14ac:dyDescent="0.3">
      <c r="A1" s="95" t="s">
        <v>137</v>
      </c>
      <c r="B1" s="95"/>
    </row>
    <row r="3" spans="1:16" ht="15.75" customHeight="1" x14ac:dyDescent="0.25">
      <c r="A3" s="105" t="s">
        <v>138</v>
      </c>
      <c r="B3" s="105"/>
      <c r="C3" s="105"/>
      <c r="D3" s="105"/>
      <c r="E3" s="105"/>
      <c r="F3" s="105"/>
      <c r="G3" s="105"/>
      <c r="H3" s="105"/>
      <c r="I3" s="105"/>
      <c r="J3" s="105"/>
      <c r="K3" s="105"/>
      <c r="L3" s="105"/>
      <c r="M3" s="105"/>
      <c r="N3" s="105"/>
      <c r="O3" s="105"/>
      <c r="P3" s="105"/>
    </row>
    <row r="4" spans="1:16" ht="15" customHeight="1" x14ac:dyDescent="0.25">
      <c r="A4" s="105"/>
      <c r="B4" s="105"/>
      <c r="C4" s="105"/>
      <c r="D4" s="105"/>
      <c r="E4" s="105"/>
      <c r="F4" s="105"/>
      <c r="G4" s="105"/>
      <c r="H4" s="105"/>
      <c r="I4" s="105"/>
      <c r="J4" s="105"/>
      <c r="K4" s="105"/>
      <c r="L4" s="105"/>
      <c r="M4" s="105"/>
      <c r="N4" s="105"/>
      <c r="O4" s="105"/>
      <c r="P4" s="105"/>
    </row>
    <row r="5" spans="1:16" ht="15" customHeight="1" x14ac:dyDescent="0.25">
      <c r="A5" s="105"/>
      <c r="B5" s="105"/>
      <c r="C5" s="105"/>
      <c r="D5" s="105"/>
      <c r="E5" s="105"/>
      <c r="F5" s="105"/>
      <c r="G5" s="105"/>
      <c r="H5" s="105"/>
      <c r="I5" s="105"/>
      <c r="J5" s="105"/>
      <c r="K5" s="105"/>
      <c r="L5" s="105"/>
      <c r="M5" s="105"/>
      <c r="N5" s="105"/>
      <c r="O5" s="105"/>
      <c r="P5" s="105"/>
    </row>
    <row r="6" spans="1:16" ht="15" customHeight="1" x14ac:dyDescent="0.25">
      <c r="A6" s="105"/>
      <c r="B6" s="105"/>
      <c r="C6" s="105"/>
      <c r="D6" s="105"/>
      <c r="E6" s="105"/>
      <c r="F6" s="105"/>
      <c r="G6" s="105"/>
      <c r="H6" s="105"/>
      <c r="I6" s="105"/>
      <c r="J6" s="105"/>
      <c r="K6" s="105"/>
      <c r="L6" s="105"/>
      <c r="M6" s="105"/>
      <c r="N6" s="105"/>
      <c r="O6" s="105"/>
      <c r="P6" s="105"/>
    </row>
    <row r="7" spans="1:16" ht="15" customHeight="1" x14ac:dyDescent="0.25">
      <c r="A7" s="105"/>
      <c r="B7" s="105"/>
      <c r="C7" s="105"/>
      <c r="D7" s="105"/>
      <c r="E7" s="105"/>
      <c r="F7" s="105"/>
      <c r="G7" s="105"/>
      <c r="H7" s="105"/>
      <c r="I7" s="105"/>
      <c r="J7" s="105"/>
      <c r="K7" s="105"/>
      <c r="L7" s="105"/>
      <c r="M7" s="105"/>
      <c r="N7" s="105"/>
      <c r="O7" s="105"/>
      <c r="P7" s="105"/>
    </row>
    <row r="8" spans="1:16" ht="15" customHeight="1" x14ac:dyDescent="0.25">
      <c r="A8" s="105"/>
      <c r="B8" s="105"/>
      <c r="C8" s="105"/>
      <c r="D8" s="105"/>
      <c r="E8" s="105"/>
      <c r="F8" s="105"/>
      <c r="G8" s="105"/>
      <c r="H8" s="105"/>
      <c r="I8" s="105"/>
      <c r="J8" s="105"/>
      <c r="K8" s="105"/>
      <c r="L8" s="105"/>
      <c r="M8" s="105"/>
      <c r="N8" s="105"/>
      <c r="O8" s="105"/>
      <c r="P8" s="105"/>
    </row>
    <row r="9" spans="1:16" ht="15" customHeight="1" x14ac:dyDescent="0.25">
      <c r="A9" s="105"/>
      <c r="B9" s="105"/>
      <c r="C9" s="105"/>
      <c r="D9" s="105"/>
      <c r="E9" s="105"/>
      <c r="F9" s="105"/>
      <c r="G9" s="105"/>
      <c r="H9" s="105"/>
      <c r="I9" s="105"/>
      <c r="J9" s="105"/>
      <c r="K9" s="105"/>
      <c r="L9" s="105"/>
      <c r="M9" s="105"/>
      <c r="N9" s="105"/>
      <c r="O9" s="105"/>
      <c r="P9" s="105"/>
    </row>
    <row r="10" spans="1:16" ht="15" customHeight="1" x14ac:dyDescent="0.25">
      <c r="A10" s="105"/>
      <c r="B10" s="105"/>
      <c r="C10" s="105"/>
      <c r="D10" s="105"/>
      <c r="E10" s="105"/>
      <c r="F10" s="105"/>
      <c r="G10" s="105"/>
      <c r="H10" s="105"/>
      <c r="I10" s="105"/>
      <c r="J10" s="105"/>
      <c r="K10" s="105"/>
      <c r="L10" s="105"/>
      <c r="M10" s="105"/>
      <c r="N10" s="105"/>
      <c r="O10" s="105"/>
      <c r="P10" s="105"/>
    </row>
    <row r="11" spans="1:16" ht="15" customHeight="1" x14ac:dyDescent="0.25">
      <c r="A11" s="105"/>
      <c r="B11" s="105"/>
      <c r="C11" s="105"/>
      <c r="D11" s="105"/>
      <c r="E11" s="105"/>
      <c r="F11" s="105"/>
      <c r="G11" s="105"/>
      <c r="H11" s="105"/>
      <c r="I11" s="105"/>
      <c r="J11" s="105"/>
      <c r="K11" s="105"/>
      <c r="L11" s="105"/>
      <c r="M11" s="105"/>
      <c r="N11" s="105"/>
      <c r="O11" s="105"/>
      <c r="P11" s="105"/>
    </row>
    <row r="12" spans="1:16" ht="15" customHeight="1" x14ac:dyDescent="0.25">
      <c r="A12" s="105"/>
      <c r="B12" s="105"/>
      <c r="C12" s="105"/>
      <c r="D12" s="105"/>
      <c r="E12" s="105"/>
      <c r="F12" s="105"/>
      <c r="G12" s="105"/>
      <c r="H12" s="105"/>
      <c r="I12" s="105"/>
      <c r="J12" s="105"/>
      <c r="K12" s="105"/>
      <c r="L12" s="105"/>
      <c r="M12" s="105"/>
      <c r="N12" s="105"/>
      <c r="O12" s="105"/>
      <c r="P12" s="105"/>
    </row>
    <row r="13" spans="1:16" ht="15" customHeight="1" x14ac:dyDescent="0.25">
      <c r="A13" s="33"/>
      <c r="B13" s="33"/>
      <c r="C13" s="33"/>
      <c r="D13" s="33"/>
      <c r="E13" s="33"/>
      <c r="F13" s="33"/>
      <c r="G13" s="33"/>
      <c r="H13" s="33"/>
      <c r="I13" s="33"/>
      <c r="J13" s="33"/>
      <c r="K13" s="33"/>
      <c r="L13" s="33"/>
      <c r="M13" s="33"/>
      <c r="N13" s="33"/>
      <c r="O13" s="33"/>
      <c r="P13" s="33"/>
    </row>
    <row r="14" spans="1:16" ht="15" customHeight="1" x14ac:dyDescent="0.25">
      <c r="D14" s="1"/>
      <c r="E14" s="1"/>
      <c r="F14" s="1"/>
      <c r="G14" s="1"/>
      <c r="H14" s="1"/>
      <c r="L14" s="33"/>
      <c r="M14" s="33"/>
      <c r="N14" s="33"/>
      <c r="O14" s="33"/>
      <c r="P14" s="33"/>
    </row>
    <row r="15" spans="1:16" ht="15" customHeight="1" x14ac:dyDescent="0.25">
      <c r="D15" s="1"/>
      <c r="E15" s="1"/>
      <c r="F15" s="1"/>
      <c r="G15" s="1"/>
      <c r="H15" s="1"/>
      <c r="L15" s="33"/>
      <c r="M15" s="33"/>
      <c r="N15" s="33"/>
      <c r="O15" s="33"/>
      <c r="P15" s="33"/>
    </row>
    <row r="16" spans="1:16" ht="15" customHeight="1" x14ac:dyDescent="0.25">
      <c r="D16" s="1"/>
      <c r="E16" s="1"/>
      <c r="F16" s="1"/>
      <c r="G16" s="1"/>
      <c r="H16" s="1"/>
      <c r="L16" s="33"/>
      <c r="M16" s="33"/>
      <c r="N16" s="33"/>
      <c r="O16" s="33"/>
      <c r="P16" s="33"/>
    </row>
    <row r="17" spans="3:16" ht="15" customHeight="1" x14ac:dyDescent="0.25">
      <c r="D17" s="1"/>
      <c r="E17" s="1"/>
      <c r="F17" s="1"/>
      <c r="G17" s="1"/>
      <c r="H17" s="1"/>
      <c r="I17" s="1"/>
      <c r="J17" s="1"/>
      <c r="K17" s="1"/>
      <c r="L17" s="33"/>
      <c r="M17" s="33"/>
      <c r="N17" s="33"/>
      <c r="O17" s="33"/>
      <c r="P17" s="33"/>
    </row>
    <row r="18" spans="3:16" ht="15" customHeight="1" x14ac:dyDescent="0.25">
      <c r="D18" s="1"/>
      <c r="E18" s="1"/>
      <c r="F18" s="1"/>
      <c r="G18" s="1"/>
      <c r="H18" s="1"/>
      <c r="I18" s="1"/>
      <c r="J18" s="1"/>
      <c r="K18" s="1"/>
      <c r="L18" s="33"/>
      <c r="M18" s="33"/>
      <c r="N18" s="33"/>
      <c r="O18" s="33"/>
      <c r="P18" s="33"/>
    </row>
    <row r="19" spans="3:16" ht="15" customHeight="1" x14ac:dyDescent="0.25">
      <c r="D19" s="1"/>
      <c r="E19" s="1"/>
      <c r="F19" s="1"/>
      <c r="G19" s="1"/>
      <c r="H19" s="1"/>
      <c r="I19" s="1"/>
      <c r="J19" s="1"/>
      <c r="K19" s="1"/>
      <c r="L19" s="33"/>
      <c r="M19" s="33"/>
      <c r="N19" s="33"/>
      <c r="O19" s="33"/>
      <c r="P19" s="33"/>
    </row>
    <row r="20" spans="3:16" ht="15" customHeight="1" x14ac:dyDescent="0.25">
      <c r="C20" s="1"/>
      <c r="D20" s="1"/>
      <c r="E20" s="1"/>
      <c r="F20" s="1"/>
      <c r="G20" s="1"/>
      <c r="H20" s="1"/>
      <c r="I20" s="1"/>
      <c r="J20" s="1"/>
      <c r="L20" s="33"/>
      <c r="M20" s="33"/>
      <c r="N20" s="33"/>
      <c r="O20" s="33"/>
      <c r="P20" s="33"/>
    </row>
    <row r="21" spans="3:16" ht="15" customHeight="1" x14ac:dyDescent="0.25">
      <c r="C21" s="1"/>
      <c r="D21" s="1"/>
      <c r="E21" s="1"/>
      <c r="F21" s="1"/>
      <c r="G21" s="1"/>
      <c r="H21" s="1"/>
      <c r="I21" s="1"/>
      <c r="J21" s="1"/>
      <c r="K21" s="1"/>
      <c r="O21" s="33"/>
      <c r="P21" s="33"/>
    </row>
    <row r="22" spans="3:16" x14ac:dyDescent="0.25">
      <c r="C22" s="1"/>
      <c r="D22" s="1"/>
      <c r="E22" s="1"/>
      <c r="F22" s="1"/>
      <c r="G22" s="1"/>
      <c r="H22" s="1"/>
      <c r="I22" s="1"/>
      <c r="J22" s="1"/>
      <c r="K22" s="1"/>
      <c r="L22" s="1"/>
      <c r="M22" s="1"/>
      <c r="N22" s="1"/>
    </row>
    <row r="23" spans="3:16" x14ac:dyDescent="0.25">
      <c r="C23" s="1"/>
      <c r="D23" s="1"/>
      <c r="E23" s="1"/>
      <c r="F23" s="1"/>
      <c r="G23" s="1"/>
      <c r="H23" s="1"/>
      <c r="I23" s="1"/>
      <c r="J23" s="1"/>
      <c r="K23" s="1"/>
      <c r="L23" s="1"/>
      <c r="M23" s="1"/>
      <c r="N23" s="1"/>
    </row>
    <row r="24" spans="3:16" x14ac:dyDescent="0.25">
      <c r="C24" s="1"/>
      <c r="D24" s="1"/>
      <c r="E24" s="1"/>
      <c r="F24" s="1"/>
      <c r="G24" s="1"/>
      <c r="H24" s="1"/>
      <c r="I24" s="1"/>
      <c r="J24" s="1"/>
      <c r="L24" s="1"/>
      <c r="M24" s="1"/>
      <c r="N24" s="1"/>
    </row>
    <row r="25" spans="3:16" x14ac:dyDescent="0.25">
      <c r="C25" s="1"/>
      <c r="D25" s="1"/>
      <c r="E25" s="1"/>
      <c r="F25" s="1"/>
      <c r="G25" s="1"/>
      <c r="H25" s="1"/>
      <c r="I25" s="1"/>
      <c r="J25" s="1"/>
      <c r="K25" s="1"/>
      <c r="M25" s="1"/>
      <c r="N25" s="1"/>
    </row>
    <row r="26" spans="3:16" x14ac:dyDescent="0.25">
      <c r="L26" s="1"/>
      <c r="M26" s="1"/>
      <c r="N26" s="1"/>
    </row>
    <row r="27" spans="3:16" x14ac:dyDescent="0.25">
      <c r="L27" s="1"/>
      <c r="M27" s="1"/>
      <c r="N27" s="1"/>
    </row>
    <row r="28" spans="3:16" x14ac:dyDescent="0.25">
      <c r="L28" s="1"/>
    </row>
    <row r="30" spans="3:16" x14ac:dyDescent="0.25">
      <c r="L30" s="1"/>
    </row>
    <row r="31" spans="3:16" x14ac:dyDescent="0.25">
      <c r="L31" s="1"/>
    </row>
    <row r="32" spans="3:16" x14ac:dyDescent="0.25">
      <c r="L32" s="1"/>
    </row>
  </sheetData>
  <mergeCells count="2">
    <mergeCell ref="A1:B1"/>
    <mergeCell ref="A3:P1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Portada</vt:lpstr>
      <vt:lpstr>Antecedentes</vt:lpstr>
      <vt:lpstr>Datos</vt:lpstr>
      <vt:lpstr>Desarrollo</vt:lpstr>
      <vt:lpstr>Ranking</vt:lpstr>
      <vt:lpstr>Conclusiones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Usuario de Windows</cp:lastModifiedBy>
  <dcterms:created xsi:type="dcterms:W3CDTF">2019-03-17T00:52:34Z</dcterms:created>
  <dcterms:modified xsi:type="dcterms:W3CDTF">2019-03-20T15:41:59Z</dcterms:modified>
</cp:coreProperties>
</file>