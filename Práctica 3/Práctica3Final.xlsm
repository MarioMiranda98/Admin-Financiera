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Financieras\Práctica 3\"/>
    </mc:Choice>
  </mc:AlternateContent>
  <bookViews>
    <workbookView xWindow="0" yWindow="0" windowWidth="20490" windowHeight="7350" firstSheet="1" activeTab="3"/>
  </bookViews>
  <sheets>
    <sheet name="Portada" sheetId="1" r:id="rId1"/>
    <sheet name="Fundamentacion" sheetId="2" r:id="rId2"/>
    <sheet name="Datos" sheetId="3" r:id="rId3"/>
    <sheet name="Estado Resultados" sheetId="4" r:id="rId4"/>
    <sheet name="FNE" sheetId="6" r:id="rId5"/>
    <sheet name="Balance General" sheetId="5" r:id="rId6"/>
    <sheet name="Razones Financieras" sheetId="8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4" l="1"/>
  <c r="C5" i="6"/>
  <c r="E9" i="8" l="1"/>
  <c r="D9" i="8"/>
  <c r="E7" i="8" l="1"/>
  <c r="D7" i="8"/>
  <c r="C7" i="8"/>
  <c r="E6" i="8"/>
  <c r="D6" i="8"/>
  <c r="C6" i="8"/>
  <c r="E5" i="8"/>
  <c r="D5" i="8"/>
  <c r="C5" i="8"/>
  <c r="G13" i="6" l="1"/>
  <c r="G12" i="6"/>
  <c r="G10" i="6"/>
  <c r="G6" i="6"/>
  <c r="G5" i="6"/>
  <c r="H18" i="5"/>
  <c r="H17" i="5"/>
  <c r="H16" i="5"/>
  <c r="H12" i="5"/>
  <c r="F16" i="5"/>
  <c r="F18" i="5"/>
  <c r="F17" i="5"/>
  <c r="F12" i="5"/>
  <c r="E20" i="6"/>
  <c r="E13" i="6"/>
  <c r="E12" i="6"/>
  <c r="E10" i="6"/>
  <c r="E7" i="6"/>
  <c r="E6" i="6"/>
  <c r="E5" i="6"/>
  <c r="I31" i="6"/>
  <c r="G31" i="6"/>
  <c r="E31" i="6"/>
  <c r="I27" i="6"/>
  <c r="I29" i="6"/>
  <c r="G27" i="6"/>
  <c r="E29" i="6"/>
  <c r="G29" i="6"/>
  <c r="E27" i="6"/>
  <c r="E26" i="6"/>
  <c r="I26" i="6"/>
  <c r="G26" i="6"/>
  <c r="C27" i="6"/>
  <c r="C26" i="6"/>
  <c r="E4" i="6"/>
  <c r="H14" i="4" l="1"/>
  <c r="H13" i="4"/>
  <c r="H11" i="4"/>
  <c r="F11" i="4"/>
  <c r="H9" i="4"/>
  <c r="H8" i="4"/>
  <c r="H7" i="4"/>
  <c r="F14" i="4" l="1"/>
  <c r="F13" i="4"/>
  <c r="D11" i="4"/>
  <c r="F9" i="4"/>
  <c r="F8" i="4"/>
  <c r="F7" i="4"/>
  <c r="C16" i="6" l="1"/>
  <c r="C14" i="6"/>
  <c r="C13" i="6"/>
  <c r="C12" i="6"/>
  <c r="C11" i="6"/>
  <c r="C10" i="6"/>
  <c r="C6" i="6"/>
  <c r="C4" i="6"/>
  <c r="D32" i="5"/>
  <c r="D17" i="5"/>
  <c r="D18" i="5" s="1"/>
  <c r="D16" i="5"/>
  <c r="D12" i="5"/>
  <c r="D16" i="4" l="1"/>
  <c r="D14" i="4"/>
  <c r="D13" i="4"/>
  <c r="D9" i="4"/>
  <c r="D8" i="4"/>
  <c r="D7" i="4"/>
  <c r="C7" i="6" l="1"/>
  <c r="C20" i="6"/>
  <c r="F10" i="4"/>
  <c r="H10" i="4" s="1"/>
  <c r="D12" i="4"/>
  <c r="D15" i="4" s="1"/>
  <c r="D17" i="4" s="1"/>
  <c r="D18" i="4" l="1"/>
  <c r="C15" i="6" s="1"/>
  <c r="C17" i="6" s="1"/>
  <c r="C21" i="6" s="1"/>
  <c r="C22" i="6" s="1"/>
  <c r="H12" i="4"/>
  <c r="H15" i="4" s="1"/>
  <c r="G11" i="6"/>
  <c r="F12" i="4"/>
  <c r="F15" i="4" s="1"/>
  <c r="E11" i="6"/>
  <c r="D11" i="5" l="1"/>
  <c r="D13" i="5" s="1"/>
  <c r="D21" i="5" s="1"/>
  <c r="E16" i="6"/>
  <c r="D26" i="5"/>
  <c r="D27" i="5" s="1"/>
  <c r="D29" i="5" s="1"/>
  <c r="F16" i="4"/>
  <c r="E14" i="6" s="1"/>
  <c r="D19" i="4"/>
  <c r="C10" i="8" l="1"/>
  <c r="D33" i="5"/>
  <c r="D34" i="5" s="1"/>
  <c r="C9" i="8"/>
  <c r="F32" i="5"/>
  <c r="F17" i="4"/>
  <c r="D36" i="5"/>
  <c r="F18" i="4" l="1"/>
  <c r="E15" i="6" s="1"/>
  <c r="E17" i="6" s="1"/>
  <c r="E21" i="6" s="1"/>
  <c r="E22" i="6" s="1"/>
  <c r="F26" i="5" l="1"/>
  <c r="F27" i="5" s="1"/>
  <c r="F29" i="5" s="1"/>
  <c r="F11" i="5"/>
  <c r="G16" i="6"/>
  <c r="H16" i="4"/>
  <c r="F19" i="4"/>
  <c r="F33" i="5" s="1"/>
  <c r="G14" i="6" l="1"/>
  <c r="H17" i="4"/>
  <c r="F13" i="5"/>
  <c r="F21" i="5" s="1"/>
  <c r="G4" i="6"/>
  <c r="G7" i="6" s="1"/>
  <c r="G20" i="6" s="1"/>
  <c r="F34" i="5"/>
  <c r="H32" i="5"/>
  <c r="F36" i="5"/>
  <c r="G22" i="6" l="1"/>
  <c r="H18" i="4"/>
  <c r="G15" i="6" s="1"/>
  <c r="H19" i="4"/>
  <c r="H33" i="5" s="1"/>
  <c r="H34" i="5" s="1"/>
  <c r="G17" i="6"/>
  <c r="G21" i="6" s="1"/>
  <c r="H26" i="5" l="1"/>
  <c r="H27" i="5" s="1"/>
  <c r="H29" i="5" s="1"/>
  <c r="H36" i="5" s="1"/>
  <c r="H11" i="5"/>
  <c r="H13" i="5" s="1"/>
  <c r="H21" i="5" s="1"/>
</calcChain>
</file>

<file path=xl/sharedStrings.xml><?xml version="1.0" encoding="utf-8"?>
<sst xmlns="http://schemas.openxmlformats.org/spreadsheetml/2006/main" count="215" uniqueCount="158">
  <si>
    <t xml:space="preserve"> Instituo Politécnico Nacional.</t>
  </si>
  <si>
    <t>Escuela Superior de Cómputo.</t>
  </si>
  <si>
    <t>Materia: Administración Financiera.</t>
  </si>
  <si>
    <t>Docente: Eduardo Rodríguez Flores.</t>
  </si>
  <si>
    <t>Alumno: Mario Alberto Miranda Sandoval.</t>
  </si>
  <si>
    <t>Grupo: 2CM10</t>
  </si>
  <si>
    <t>Fundamentación</t>
  </si>
  <si>
    <t>Análisis Financiero.</t>
  </si>
  <si>
    <t>El análisis financiero es el estudio y la representación  de la información contable de una empresa u organización con la finalidad de obtener una visión objetiva de su situación actual y proyectar dicha información a futuro.</t>
  </si>
  <si>
    <t>Razones Financieras.</t>
  </si>
  <si>
    <t>Las razones financieras son utilizadas por administradores, acreedores e inversionistas para evaluar la situación de las compañias y así facilitar su resolución.  Dependiendo de la necesidad que tengan los usuarios son las razones que se utilizarán. Estas razones se clasifican en 4 y cada una tienen sus cuatro fórmulas, las cuales son:</t>
  </si>
  <si>
    <t xml:space="preserve">Tipo </t>
  </si>
  <si>
    <t>Razón</t>
  </si>
  <si>
    <t>Fórmula</t>
  </si>
  <si>
    <t>¿Qué mide?</t>
  </si>
  <si>
    <t>Razón Circulante</t>
  </si>
  <si>
    <t>(Activo Circulante)/(Pasivo Circulante)</t>
  </si>
  <si>
    <t>Prueba de ácido</t>
  </si>
  <si>
    <t>(Activo Circulante-Inventarios)/(Pasivo Circulante)</t>
  </si>
  <si>
    <t>Liquidez</t>
  </si>
  <si>
    <t>Las veces que la empresa puede pagar sus deudas a corto plazo.</t>
  </si>
  <si>
    <t>Determina con mayor exactitud sobre la capacidad de pago de una organización.</t>
  </si>
  <si>
    <t>Índice de razón a deuda.</t>
  </si>
  <si>
    <t>(Pasivo Total)/(Capital Contable)</t>
  </si>
  <si>
    <t>Proporción de lo que se esta inviertiendo por terceros.</t>
  </si>
  <si>
    <t>Razón de deuda.</t>
  </si>
  <si>
    <t>(Pasivo Total)/(Activo Total)</t>
  </si>
  <si>
    <t>Permite conocer el grado de inversión efectuado por terceros.</t>
  </si>
  <si>
    <t>Endeudamiento</t>
  </si>
  <si>
    <t>Rotación de inventarios.</t>
  </si>
  <si>
    <t>(Costo de ventas)/(Inventario)</t>
  </si>
  <si>
    <t>Las veces que el inventario se vende al año.</t>
  </si>
  <si>
    <t>Días de ventas en inventario.</t>
  </si>
  <si>
    <t>(365)/(Rotación del inventario)</t>
  </si>
  <si>
    <t>Indica los días que el inventario se encuentra dentro del almacén hasta que se vende.</t>
  </si>
  <si>
    <t>Rotación de cuentas por cobrar.</t>
  </si>
  <si>
    <t>(Ventas)/(Cuentas por cobrar)</t>
  </si>
  <si>
    <t>Veces que se cobran las cuentas por cobrar en el año.</t>
  </si>
  <si>
    <t>Días de ventas en cuentas por cobrar.</t>
  </si>
  <si>
    <t>(365)/(Rotación de cuentas por cobrar)</t>
  </si>
  <si>
    <t>Días que se les da de crédito a los clientes.</t>
  </si>
  <si>
    <t>Rotación de activos fijos.</t>
  </si>
  <si>
    <t>(Ventas)/(Activos Fijos Netos)</t>
  </si>
  <si>
    <t>Por cada peso invertido en activos fijos se generan centavos de ventas.</t>
  </si>
  <si>
    <t>Rotación de activos totales.</t>
  </si>
  <si>
    <t>(Ventas)/(Activos Totales)</t>
  </si>
  <si>
    <t>Por cada peso invertido en activos totales se generan centavos de ventas.</t>
  </si>
  <si>
    <t>Rotación de Activos</t>
  </si>
  <si>
    <t>Margen de Utilidad.</t>
  </si>
  <si>
    <t>(Utilidad neta)/(Ventas)</t>
  </si>
  <si>
    <t>Porcentaje de utilidad que generaron las ventas.</t>
  </si>
  <si>
    <t>Rendimiento Sobre Los Activos.</t>
  </si>
  <si>
    <t>(Utilidad neta)/(Activos Totales)</t>
  </si>
  <si>
    <t>Porcentaje de utilidad que generaron los bienes de la empresa.</t>
  </si>
  <si>
    <t>Rendimiento Sobre El Capital.</t>
  </si>
  <si>
    <t>(Utilidad neta)/(Capital Contable)</t>
  </si>
  <si>
    <t>Centavos de utilidad generados por cada peso de inversión accionista.</t>
  </si>
  <si>
    <t>Rentabilidad</t>
  </si>
  <si>
    <t>Datos.</t>
  </si>
  <si>
    <t>Capital Social</t>
  </si>
  <si>
    <t>Ventas</t>
  </si>
  <si>
    <t>Ventas Mes Anterior</t>
  </si>
  <si>
    <t>Unidades</t>
  </si>
  <si>
    <t>Precio</t>
  </si>
  <si>
    <t>Costo de produccion por unidad</t>
  </si>
  <si>
    <t>Gastos de ventas por unidad</t>
  </si>
  <si>
    <t>Infraestructura (Activos)</t>
  </si>
  <si>
    <t>Valor rescate</t>
  </si>
  <si>
    <t>Vida útil en años</t>
  </si>
  <si>
    <t>Gastos administrativos</t>
  </si>
  <si>
    <t>Saldo inicial</t>
  </si>
  <si>
    <t>Préstamo</t>
  </si>
  <si>
    <t>Estado de Resultados.</t>
  </si>
  <si>
    <t>Estado de Resultados</t>
  </si>
  <si>
    <t>"Fragancias Channel"</t>
  </si>
  <si>
    <t>M.N. /00</t>
  </si>
  <si>
    <t>-</t>
  </si>
  <si>
    <t>IVA</t>
  </si>
  <si>
    <t>=</t>
  </si>
  <si>
    <t>Venta Neta</t>
  </si>
  <si>
    <t>Costo de producción</t>
  </si>
  <si>
    <t>Depreciación</t>
  </si>
  <si>
    <t>Utilidad Bruta</t>
  </si>
  <si>
    <t>Gastos de administración</t>
  </si>
  <si>
    <t>Gastos de venta</t>
  </si>
  <si>
    <t>Utilidad de operación</t>
  </si>
  <si>
    <t>Gastos financieros</t>
  </si>
  <si>
    <t>Utilidad antes del impuesto</t>
  </si>
  <si>
    <t>Impuestos(30%)</t>
  </si>
  <si>
    <t>Utilidad</t>
  </si>
  <si>
    <t>Balance General.</t>
  </si>
  <si>
    <t>Balance General</t>
  </si>
  <si>
    <t>1 de febrero al 28 de febrero de 2016</t>
  </si>
  <si>
    <t>Activos</t>
  </si>
  <si>
    <t>Pasivos</t>
  </si>
  <si>
    <t>Activos Circulantes</t>
  </si>
  <si>
    <t>Banco</t>
  </si>
  <si>
    <t>Clientes</t>
  </si>
  <si>
    <t>Total de activos circualentes</t>
  </si>
  <si>
    <t>Activos No Circulantes</t>
  </si>
  <si>
    <t>Infraestructura</t>
  </si>
  <si>
    <t>Depreciacion Acumulada</t>
  </si>
  <si>
    <t>Total Activos No Circulantes</t>
  </si>
  <si>
    <t>Total de Activos</t>
  </si>
  <si>
    <t>Pasivos a Corto Plazo</t>
  </si>
  <si>
    <t>Total Pasivos a Corto Plazo</t>
  </si>
  <si>
    <t>Total de Pasivos</t>
  </si>
  <si>
    <t>Capital Contable</t>
  </si>
  <si>
    <t>Útilidad del Ejercicio</t>
  </si>
  <si>
    <t>Total Capital Contable</t>
  </si>
  <si>
    <t>Total Capital+Pasivos</t>
  </si>
  <si>
    <t>Flujo Neto de Efectivo.</t>
  </si>
  <si>
    <t>Ingreso</t>
  </si>
  <si>
    <t>Venta Contado</t>
  </si>
  <si>
    <t>Venta Credito</t>
  </si>
  <si>
    <t>Total</t>
  </si>
  <si>
    <t>Egreso</t>
  </si>
  <si>
    <t>Costo de Producción</t>
  </si>
  <si>
    <t>Gasto de Venta</t>
  </si>
  <si>
    <t xml:space="preserve">Gasto de Administración </t>
  </si>
  <si>
    <t>Interesés</t>
  </si>
  <si>
    <t>Impuestos</t>
  </si>
  <si>
    <t>Prestamo</t>
  </si>
  <si>
    <t>Flujo Neto De Efectivo</t>
  </si>
  <si>
    <t>FNE</t>
  </si>
  <si>
    <t>Tema: Fragancias Channel (Práctica 3).</t>
  </si>
  <si>
    <t>Febrero</t>
  </si>
  <si>
    <t>Marzo</t>
  </si>
  <si>
    <t>Abril</t>
  </si>
  <si>
    <t>Ingresos.</t>
  </si>
  <si>
    <t>Enero</t>
  </si>
  <si>
    <t>Contado (Cobro 40%)</t>
  </si>
  <si>
    <t>Credito (Cobro 60%)</t>
  </si>
  <si>
    <t>Cálculo</t>
  </si>
  <si>
    <t>Evaluación</t>
  </si>
  <si>
    <t>Gráfica</t>
  </si>
  <si>
    <t>Periodo Promedio de Cobranzas</t>
  </si>
  <si>
    <t>Margen de Utilidad</t>
  </si>
  <si>
    <t>Rendimiento Sobre Capital</t>
  </si>
  <si>
    <t>Razón de Deuda A Capital</t>
  </si>
  <si>
    <t>Rendimiento Sobre Los Activos</t>
  </si>
  <si>
    <t>Malo</t>
  </si>
  <si>
    <t>Excelente</t>
  </si>
  <si>
    <t>Razones Financieras</t>
  </si>
  <si>
    <t>Rotación Cuentas por Cobrar</t>
  </si>
  <si>
    <t>Rotación del Activo Fijo</t>
  </si>
  <si>
    <t>Rotación del Activo Total</t>
  </si>
  <si>
    <t>Bueno</t>
  </si>
  <si>
    <t>Pasivo total a Activo Total</t>
  </si>
  <si>
    <t>Multiplicador del Capital</t>
  </si>
  <si>
    <t>Razón de Cobertura a interesés</t>
  </si>
  <si>
    <t>Capital Contable A Activos Totales</t>
  </si>
  <si>
    <t>Fortalezas</t>
  </si>
  <si>
    <t>Debilidades</t>
  </si>
  <si>
    <t>La empresa presenta liquidez, ya que por cada peso que adquiere de deuda, ésta tiene 33 pesos para cubrirla.
Capital contable por las inversiones de terceros.
Costos de producción.</t>
  </si>
  <si>
    <t>Cuentas por cobrar. 
El tiempo para cobrar a deudores es demasiado y es la que mayor peso tiene ya que es un 60% del total de la venta.
Gastos.
Son mayores al costo de producción</t>
  </si>
  <si>
    <t>Estrategias.</t>
  </si>
  <si>
    <t>Analizar en el mercado los costos que manejan los productos que se venden para 
poder comprarlos a un menor precio.
Realizar una auditoria en el departamento de cobranzas para
determinar las causas del tiempo que se tarda en cobrar o se los clientes están realizando el pago o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</si>
</sst>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"/>
    <numFmt numFmtId="165" formatCode="0.00000"/>
    <numFmt numFmtId="166" formatCode="_-* #,##0.000_-;\-* #,##0.000_-;_-* &quot;-&quot;??_-;_-@_-"/>
  </numFmts>
  <fonts count="14" x14ac:knownFonts="1">
    <font>
      <sz val="11"/>
      <color theme="1"/>
      <name val="Calibri"/>
      <family val="2"/>
      <scheme val="minor"/>
    </font>
    <font>
      <b/>
      <sz val="12"/>
      <color theme="4" tint="-0.499984740745262"/>
      <name val="Courier New"/>
      <family val="3"/>
    </font>
    <font>
      <sz val="11"/>
      <color theme="1"/>
      <name val="Courier New"/>
      <family val="3"/>
    </font>
    <font>
      <b/>
      <sz val="14"/>
      <color theme="1"/>
      <name val="Courier New"/>
      <family val="3"/>
    </font>
    <font>
      <b/>
      <sz val="14"/>
      <color theme="4" tint="-0.499984740745262"/>
      <name val="Courier New"/>
      <family val="3"/>
    </font>
    <font>
      <sz val="11"/>
      <color theme="4" tint="-0.499984740745262"/>
      <name val="Courier New"/>
      <family val="3"/>
    </font>
    <font>
      <b/>
      <sz val="11"/>
      <color theme="4" tint="-0.499984740745262"/>
      <name val="Courier New"/>
      <family val="3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2"/>
      <color theme="9" tint="-0.499984740745262"/>
      <name val="Courier New"/>
      <family val="3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507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0" xfId="0" applyFont="1" applyFill="1" applyAlignment="1">
      <alignment vertical="top" wrapText="1"/>
    </xf>
    <xf numFmtId="0" fontId="0" fillId="5" borderId="0" xfId="0" applyFill="1"/>
    <xf numFmtId="0" fontId="0" fillId="5" borderId="0" xfId="0" applyFill="1" applyAlignment="1">
      <alignment wrapText="1"/>
    </xf>
    <xf numFmtId="0" fontId="2" fillId="4" borderId="0" xfId="0" applyNumberFormat="1" applyFont="1" applyFill="1" applyAlignment="1">
      <alignment wrapText="1"/>
    </xf>
    <xf numFmtId="0" fontId="0" fillId="4" borderId="0" xfId="0" applyFill="1"/>
    <xf numFmtId="0" fontId="2" fillId="0" borderId="0" xfId="0" applyFont="1"/>
    <xf numFmtId="44" fontId="2" fillId="0" borderId="0" xfId="2" applyFont="1"/>
    <xf numFmtId="44" fontId="2" fillId="0" borderId="0" xfId="2" applyFont="1" applyAlignment="1">
      <alignment horizontal="left"/>
    </xf>
    <xf numFmtId="0" fontId="2" fillId="0" borderId="0" xfId="0" applyFont="1" applyAlignment="1">
      <alignment horizontal="left"/>
    </xf>
    <xf numFmtId="0" fontId="2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3" fontId="2" fillId="4" borderId="0" xfId="1" applyFont="1" applyFill="1" applyAlignment="1">
      <alignment horizontal="right" vertical="center" wrapText="1"/>
    </xf>
    <xf numFmtId="164" fontId="2" fillId="4" borderId="0" xfId="1" applyNumberFormat="1" applyFont="1" applyFill="1" applyAlignment="1">
      <alignment horizontal="right" vertical="center" wrapText="1"/>
    </xf>
    <xf numFmtId="164" fontId="2" fillId="4" borderId="0" xfId="0" applyNumberFormat="1" applyFont="1" applyFill="1" applyAlignment="1">
      <alignment horizontal="right" vertical="center" wrapText="1"/>
    </xf>
    <xf numFmtId="166" fontId="2" fillId="4" borderId="0" xfId="1" applyNumberFormat="1" applyFont="1" applyFill="1" applyAlignment="1">
      <alignment horizontal="right" vertical="center" wrapText="1"/>
    </xf>
    <xf numFmtId="0" fontId="2" fillId="4" borderId="0" xfId="0" applyFont="1" applyFill="1" applyAlignment="1">
      <alignment horizontal="right" vertical="center" wrapText="1"/>
    </xf>
    <xf numFmtId="165" fontId="2" fillId="4" borderId="0" xfId="1" applyNumberFormat="1" applyFont="1" applyFill="1" applyAlignment="1">
      <alignment horizontal="right" vertical="center" wrapText="1"/>
    </xf>
    <xf numFmtId="43" fontId="2" fillId="5" borderId="0" xfId="1" applyFont="1" applyFill="1" applyAlignment="1">
      <alignment horizontal="right" vertical="center" wrapText="1"/>
    </xf>
    <xf numFmtId="164" fontId="2" fillId="5" borderId="0" xfId="1" applyNumberFormat="1" applyFont="1" applyFill="1" applyAlignment="1">
      <alignment horizontal="right" vertical="center" wrapText="1"/>
    </xf>
    <xf numFmtId="164" fontId="2" fillId="5" borderId="0" xfId="0" applyNumberFormat="1" applyFont="1" applyFill="1" applyAlignment="1">
      <alignment horizontal="right" vertical="center" wrapText="1"/>
    </xf>
    <xf numFmtId="0" fontId="2" fillId="5" borderId="0" xfId="0" applyFont="1" applyFill="1" applyAlignment="1">
      <alignment horizontal="right" vertical="center" wrapText="1"/>
    </xf>
    <xf numFmtId="0" fontId="2" fillId="5" borderId="0" xfId="1" applyNumberFormat="1" applyFont="1" applyFill="1" applyAlignment="1">
      <alignment horizontal="right" vertical="center" wrapText="1"/>
    </xf>
    <xf numFmtId="0" fontId="13" fillId="0" borderId="0" xfId="0" applyFont="1"/>
    <xf numFmtId="0" fontId="1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wrapText="1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9" fillId="4" borderId="0" xfId="0" applyFont="1" applyFill="1" applyAlignment="1">
      <alignment horizontal="left" vertical="top" wrapText="1"/>
    </xf>
    <xf numFmtId="0" fontId="9" fillId="5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center" vertical="center" wrapText="1"/>
    </xf>
    <xf numFmtId="44" fontId="8" fillId="5" borderId="0" xfId="2" applyFont="1" applyFill="1" applyAlignment="1">
      <alignment horizontal="center" vertical="center" wrapText="1"/>
    </xf>
    <xf numFmtId="44" fontId="8" fillId="4" borderId="0" xfId="2" applyFont="1" applyFill="1" applyAlignment="1">
      <alignment horizontal="center" wrapText="1"/>
    </xf>
    <xf numFmtId="44" fontId="8" fillId="5" borderId="0" xfId="2" applyFont="1" applyFill="1" applyAlignment="1">
      <alignment horizontal="center" wrapText="1"/>
    </xf>
    <xf numFmtId="0" fontId="8" fillId="4" borderId="0" xfId="1" applyNumberFormat="1" applyFont="1" applyFill="1" applyAlignment="1">
      <alignment horizontal="right" wrapText="1"/>
    </xf>
    <xf numFmtId="0" fontId="8" fillId="4" borderId="0" xfId="2" applyNumberFormat="1" applyFont="1" applyFill="1" applyAlignment="1">
      <alignment horizontal="right" wrapText="1"/>
    </xf>
    <xf numFmtId="0" fontId="1" fillId="5" borderId="0" xfId="0" applyFont="1" applyFill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2" fillId="5" borderId="0" xfId="0" applyFont="1" applyFill="1" applyAlignment="1">
      <alignment horizontal="left" wrapText="1"/>
    </xf>
    <xf numFmtId="44" fontId="2" fillId="5" borderId="0" xfId="2" applyFont="1" applyFill="1" applyAlignment="1">
      <alignment horizontal="left" wrapText="1"/>
    </xf>
    <xf numFmtId="44" fontId="2" fillId="4" borderId="0" xfId="2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44" fontId="2" fillId="5" borderId="0" xfId="2" applyFont="1" applyFill="1" applyAlignment="1">
      <alignment horizontal="left"/>
    </xf>
    <xf numFmtId="44" fontId="2" fillId="4" borderId="0" xfId="2" applyFont="1" applyFill="1" applyAlignment="1">
      <alignment horizontal="left"/>
    </xf>
    <xf numFmtId="0" fontId="2" fillId="4" borderId="0" xfId="0" applyNumberFormat="1" applyFont="1" applyFill="1" applyAlignment="1">
      <alignment horizontal="left" wrapText="1"/>
    </xf>
    <xf numFmtId="0" fontId="1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44" fontId="2" fillId="14" borderId="0" xfId="2" applyFont="1" applyFill="1" applyAlignment="1">
      <alignment horizontal="left" vertical="center" wrapText="1"/>
    </xf>
    <xf numFmtId="44" fontId="2" fillId="4" borderId="0" xfId="2" applyFont="1" applyFill="1" applyAlignment="1">
      <alignment horizontal="left" vertical="center" wrapText="1"/>
    </xf>
    <xf numFmtId="0" fontId="0" fillId="11" borderId="0" xfId="0" applyFill="1" applyAlignment="1">
      <alignment horizontal="center"/>
    </xf>
    <xf numFmtId="0" fontId="2" fillId="14" borderId="0" xfId="0" applyFont="1" applyFill="1" applyAlignment="1">
      <alignment horizontal="center" vertical="center" wrapText="1"/>
    </xf>
    <xf numFmtId="44" fontId="2" fillId="3" borderId="0" xfId="2" applyFont="1" applyFill="1" applyAlignment="1">
      <alignment horizontal="left" vertical="center" wrapText="1"/>
    </xf>
    <xf numFmtId="44" fontId="2" fillId="5" borderId="0" xfId="2" applyFont="1" applyFill="1" applyAlignment="1">
      <alignment horizontal="left" vertical="center" wrapText="1"/>
    </xf>
    <xf numFmtId="0" fontId="2" fillId="1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0" fillId="9" borderId="0" xfId="0" applyFont="1" applyFill="1" applyAlignment="1">
      <alignment horizontal="center" wrapText="1"/>
    </xf>
    <xf numFmtId="0" fontId="11" fillId="9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44" fontId="2" fillId="6" borderId="0" xfId="0" applyNumberFormat="1" applyFont="1" applyFill="1" applyAlignment="1">
      <alignment horizontal="left" wrapText="1"/>
    </xf>
    <xf numFmtId="0" fontId="2" fillId="6" borderId="0" xfId="0" applyFont="1" applyFill="1" applyAlignment="1">
      <alignment horizontal="left" wrapText="1"/>
    </xf>
    <xf numFmtId="44" fontId="2" fillId="9" borderId="0" xfId="0" applyNumberFormat="1" applyFont="1" applyFill="1" applyAlignment="1">
      <alignment horizontal="left" wrapText="1"/>
    </xf>
    <xf numFmtId="0" fontId="2" fillId="9" borderId="0" xfId="0" applyFont="1" applyFill="1" applyAlignment="1">
      <alignment horizontal="left" wrapText="1"/>
    </xf>
    <xf numFmtId="0" fontId="2" fillId="8" borderId="0" xfId="0" applyFont="1" applyFill="1" applyAlignment="1">
      <alignment horizontal="center" wrapText="1"/>
    </xf>
    <xf numFmtId="0" fontId="10" fillId="7" borderId="0" xfId="0" applyFont="1" applyFill="1" applyAlignment="1">
      <alignment horizontal="center" wrapText="1"/>
    </xf>
    <xf numFmtId="44" fontId="2" fillId="7" borderId="0" xfId="2" applyFont="1" applyFill="1" applyAlignment="1">
      <alignment wrapText="1"/>
    </xf>
    <xf numFmtId="44" fontId="2" fillId="8" borderId="0" xfId="2" applyFont="1" applyFill="1" applyAlignment="1">
      <alignment wrapText="1"/>
    </xf>
    <xf numFmtId="0" fontId="11" fillId="4" borderId="0" xfId="0" applyFont="1" applyFill="1" applyAlignment="1">
      <alignment horizontal="center" wrapText="1"/>
    </xf>
    <xf numFmtId="0" fontId="11" fillId="7" borderId="0" xfId="0" applyFont="1" applyFill="1" applyAlignment="1">
      <alignment horizontal="center" wrapText="1"/>
    </xf>
    <xf numFmtId="0" fontId="11" fillId="4" borderId="0" xfId="0" applyFont="1" applyFill="1" applyAlignment="1">
      <alignment horizontal="center"/>
    </xf>
    <xf numFmtId="44" fontId="2" fillId="3" borderId="0" xfId="2" applyFont="1" applyFill="1" applyAlignment="1">
      <alignment horizontal="left" wrapText="1"/>
    </xf>
    <xf numFmtId="0" fontId="2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2" fillId="7" borderId="0" xfId="0" applyFont="1" applyFill="1" applyAlignment="1">
      <alignment horizontal="center" wrapText="1"/>
    </xf>
    <xf numFmtId="0" fontId="10" fillId="4" borderId="0" xfId="0" applyFont="1" applyFill="1" applyAlignment="1">
      <alignment horizontal="center" wrapText="1"/>
    </xf>
    <xf numFmtId="44" fontId="2" fillId="10" borderId="0" xfId="2" applyFont="1" applyFill="1" applyAlignment="1">
      <alignment horizontal="left" wrapText="1"/>
    </xf>
    <xf numFmtId="0" fontId="11" fillId="10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44" fontId="2" fillId="6" borderId="0" xfId="2" applyFont="1" applyFill="1" applyAlignment="1">
      <alignment horizontal="left" wrapText="1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center" wrapText="1"/>
    </xf>
    <xf numFmtId="0" fontId="10" fillId="13" borderId="0" xfId="0" applyFont="1" applyFill="1" applyAlignment="1">
      <alignment horizontal="center" wrapText="1"/>
    </xf>
    <xf numFmtId="44" fontId="2" fillId="13" borderId="0" xfId="2" applyFont="1" applyFill="1" applyAlignment="1">
      <alignment horizontal="left" wrapText="1"/>
    </xf>
    <xf numFmtId="44" fontId="9" fillId="5" borderId="0" xfId="2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0" fontId="9" fillId="5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3" fillId="5" borderId="0" xfId="0" applyFont="1" applyFill="1" applyAlignment="1">
      <alignment horizontal="center"/>
    </xf>
    <xf numFmtId="44" fontId="2" fillId="3" borderId="0" xfId="0" applyNumberFormat="1" applyFont="1" applyFill="1" applyAlignment="1">
      <alignment horizontal="left" wrapText="1"/>
    </xf>
    <xf numFmtId="0" fontId="2" fillId="3" borderId="0" xfId="0" applyFont="1" applyFill="1" applyAlignment="1">
      <alignment horizontal="left" wrapText="1"/>
    </xf>
    <xf numFmtId="44" fontId="2" fillId="5" borderId="0" xfId="0" applyNumberFormat="1" applyFont="1" applyFill="1" applyAlignment="1">
      <alignment horizontal="left" wrapText="1"/>
    </xf>
    <xf numFmtId="44" fontId="2" fillId="13" borderId="0" xfId="2" applyFont="1" applyFill="1" applyAlignment="1">
      <alignment horizontal="left"/>
    </xf>
    <xf numFmtId="0" fontId="2" fillId="6" borderId="0" xfId="0" applyFont="1" applyFill="1" applyAlignment="1">
      <alignment horizontal="left" vertical="top" wrapText="1"/>
    </xf>
    <xf numFmtId="0" fontId="2" fillId="6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 wrapText="1"/>
    </xf>
    <xf numFmtId="0" fontId="2" fillId="15" borderId="0" xfId="0" applyFont="1" applyFill="1" applyAlignment="1">
      <alignment horizontal="center" wrapText="1"/>
    </xf>
    <xf numFmtId="0" fontId="2" fillId="17" borderId="0" xfId="0" applyFont="1" applyFill="1" applyAlignment="1">
      <alignment horizontal="left" vertical="top" wrapText="1"/>
    </xf>
    <xf numFmtId="0" fontId="2" fillId="12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 wrapText="1"/>
    </xf>
    <xf numFmtId="0" fontId="0" fillId="5" borderId="0" xfId="0" applyFill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F65078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 Cuentas Por Cobrar</a:t>
            </a:r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'Razones Financieras'!$C$5:$E$5</c:f>
              <c:strCache>
                <c:ptCount val="3"/>
                <c:pt idx="0">
                  <c:v>1.667</c:v>
                </c:pt>
                <c:pt idx="1">
                  <c:v>1.667</c:v>
                </c:pt>
                <c:pt idx="2">
                  <c:v>1.667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Financieras'!$C$5:$E$5</c:f>
              <c:numCache>
                <c:formatCode>0.000</c:formatCode>
                <c:ptCount val="3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2EE-AAF0-EDFF824FE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Periodo</a:t>
            </a:r>
            <a:r>
              <a:rPr lang="en-US" baseline="0"/>
              <a:t> Promedio de Cobranzas</a:t>
            </a:r>
            <a:endParaRPr lang="en-US"/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Financieras'!$C$6:$E$6</c:f>
              <c:numCache>
                <c:formatCode>_(* #,##0.00_);_(* \(#,##0.00\);_(* "-"??_);_(@_)</c:formatCode>
                <c:ptCount val="3"/>
                <c:pt idx="0">
                  <c:v>216</c:v>
                </c:pt>
                <c:pt idx="1">
                  <c:v>216</c:v>
                </c:pt>
                <c:pt idx="2">
                  <c:v>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84-41E5-A5D4-A0D74A445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</a:t>
            </a:r>
            <a:r>
              <a:rPr lang="en-US" baseline="0"/>
              <a:t> del Activo Fijo</a:t>
            </a:r>
            <a:endParaRPr lang="en-US"/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Financieras'!$C$7:$E$7</c:f>
              <c:numCache>
                <c:formatCode>_(* #,##0.00_);_(* \(#,##0.00\);_(* "-"??_);_(@_)</c:formatCode>
                <c:ptCount val="3"/>
                <c:pt idx="0">
                  <c:v>1.8274111675126903</c:v>
                </c:pt>
                <c:pt idx="1">
                  <c:v>1.9602094240837695</c:v>
                </c:pt>
                <c:pt idx="2">
                  <c:v>2.1394285714285712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D-4A29-BF69-07BC32EF3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>
            <c:manualLayout>
              <c:xMode val="edge"/>
              <c:yMode val="edge"/>
              <c:x val="0.55758169291338588"/>
              <c:y val="0.88115628403592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</a:t>
            </a:r>
            <a:r>
              <a:rPr lang="en-US" baseline="0"/>
              <a:t> del Activo Total</a:t>
            </a:r>
            <a:endParaRPr lang="en-US"/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Financieras'!$C$8:$E$8</c:f>
              <c:numCache>
                <c:formatCode>0.000</c:formatCode>
                <c:ptCount val="3"/>
                <c:pt idx="0">
                  <c:v>0.87160000000000004</c:v>
                </c:pt>
                <c:pt idx="1">
                  <c:v>0.128</c:v>
                </c:pt>
                <c:pt idx="2">
                  <c:v>0.126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7-4863-A478-B6023019D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Margen</a:t>
            </a:r>
            <a:r>
              <a:rPr lang="en-US" baseline="0"/>
              <a:t> de Utilidad</a:t>
            </a:r>
            <a:endParaRPr lang="en-US"/>
          </a:p>
        </c:rich>
      </c:tx>
      <c:layout>
        <c:manualLayout>
          <c:xMode val="edge"/>
          <c:yMode val="edge"/>
          <c:x val="0.24339206036745412"/>
          <c:y val="7.14846949863751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Financieras'!$C$9:$E$9</c:f>
              <c:numCache>
                <c:formatCode>0.000</c:formatCode>
                <c:ptCount val="3"/>
                <c:pt idx="0">
                  <c:v>0.12705938697318017</c:v>
                </c:pt>
                <c:pt idx="1">
                  <c:v>0.99038461538461542</c:v>
                </c:pt>
                <c:pt idx="2" formatCode="_-* #,##0.000_-;\-* #,##0.000_-;_-* &quot;-&quot;??_-;_-@_-">
                  <c:v>0.9800295857988166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7-4253-95F1-01A38138F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Rendimiento</a:t>
            </a:r>
            <a:r>
              <a:rPr lang="en-US" baseline="0"/>
              <a:t> Sobre El Capital</a:t>
            </a:r>
            <a:endParaRPr lang="en-US"/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Financieras'!$C$10:$E$10</c:f>
              <c:numCache>
                <c:formatCode>0.000</c:formatCode>
                <c:ptCount val="3"/>
                <c:pt idx="0">
                  <c:v>0.1256631299734749</c:v>
                </c:pt>
                <c:pt idx="1">
                  <c:v>0.1172</c:v>
                </c:pt>
                <c:pt idx="2" formatCode="General">
                  <c:v>0.105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3-4F43-AFF0-DC530AEA2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Pasivo</a:t>
            </a:r>
            <a:r>
              <a:rPr lang="en-US" baseline="0"/>
              <a:t> Total a Activo Total</a:t>
            </a:r>
            <a:endParaRPr lang="en-US"/>
          </a:p>
        </c:rich>
      </c:tx>
      <c:layout>
        <c:manualLayout>
          <c:xMode val="edge"/>
          <c:yMode val="edge"/>
          <c:x val="0.14755860312235378"/>
          <c:y val="6.299217805788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Financieras'!$C$11:$E$11</c:f>
              <c:numCache>
                <c:formatCode>General</c:formatCode>
                <c:ptCount val="3"/>
                <c:pt idx="0">
                  <c:v>7.8899999999999994E-3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F-456A-B714-89FCEB075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Deuda</a:t>
            </a:r>
            <a:r>
              <a:rPr lang="en-US" baseline="0"/>
              <a:t> A Capital</a:t>
            </a:r>
            <a:endParaRPr lang="en-US"/>
          </a:p>
        </c:rich>
      </c:tx>
      <c:layout>
        <c:manualLayout>
          <c:xMode val="edge"/>
          <c:yMode val="edge"/>
          <c:x val="0.3183920603674541"/>
          <c:y val="7.0482762688371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'Razones Financieras'!$C$12</c:f>
              <c:strCache>
                <c:ptCount val="1"/>
                <c:pt idx="0">
                  <c:v>0.00905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Financieras'!$C$12:$E$12</c:f>
              <c:numCache>
                <c:formatCode>0.000</c:formatCode>
                <c:ptCount val="3"/>
                <c:pt idx="0" formatCode="General">
                  <c:v>9.0500000000000008E-3</c:v>
                </c:pt>
                <c:pt idx="1">
                  <c:v>0.11260000000000001</c:v>
                </c:pt>
                <c:pt idx="2" formatCode="General">
                  <c:v>0.1996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6-49FC-BB91-040ACFDBD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Multiplicador del Capital</a:t>
            </a:r>
            <a:endParaRPr lang="en-US"/>
          </a:p>
        </c:rich>
      </c:tx>
      <c:layout>
        <c:manualLayout>
          <c:xMode val="edge"/>
          <c:yMode val="edge"/>
          <c:x val="0.23922539370078741"/>
          <c:y val="7.0482762688371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Financieras'!$C$13:$E$13</c:f>
              <c:numCache>
                <c:formatCode>0.00000</c:formatCode>
                <c:ptCount val="3"/>
                <c:pt idx="0" formatCode="0.000">
                  <c:v>1.1346000000000001</c:v>
                </c:pt>
                <c:pt idx="1">
                  <c:v>1.1172</c:v>
                </c:pt>
                <c:pt idx="2" formatCode="General">
                  <c:v>1.1074999999999999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B-4718-B603-18A839018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Cobertura</a:t>
            </a:r>
            <a:r>
              <a:rPr lang="en-US" baseline="0"/>
              <a:t> A interesés</a:t>
            </a:r>
            <a:endParaRPr lang="en-US"/>
          </a:p>
        </c:rich>
      </c:tx>
      <c:layout>
        <c:manualLayout>
          <c:xMode val="edge"/>
          <c:yMode val="edge"/>
          <c:x val="0.25172539370078745"/>
          <c:y val="7.0482762688371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Financieras'!$C$14:$E$14</c:f>
              <c:numCache>
                <c:formatCode>0.000</c:formatCode>
                <c:ptCount val="3"/>
                <c:pt idx="0" formatCode="_(* #,##0.00_);_(* \(#,##0.00\);_(* &quot;-&quot;??_);_(@_)">
                  <c:v>33.67</c:v>
                </c:pt>
                <c:pt idx="1">
                  <c:v>1143.43</c:v>
                </c:pt>
                <c:pt idx="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0-489A-84C4-26537398A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Capital</a:t>
            </a:r>
            <a:r>
              <a:rPr lang="en-US" baseline="0"/>
              <a:t> Contable a Activos Totales</a:t>
            </a:r>
            <a:endParaRPr lang="en-US"/>
          </a:p>
        </c:rich>
      </c:tx>
      <c:layout>
        <c:manualLayout>
          <c:xMode val="edge"/>
          <c:yMode val="edge"/>
          <c:x val="0.25172539370078745"/>
          <c:y val="7.0482762688371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Financieras'!$C$15:$E$15</c:f>
              <c:numCache>
                <c:formatCode>0.000</c:formatCode>
                <c:ptCount val="3"/>
                <c:pt idx="0" formatCode="General">
                  <c:v>0.88100000000000001</c:v>
                </c:pt>
                <c:pt idx="1">
                  <c:v>0.89500000000000002</c:v>
                </c:pt>
                <c:pt idx="2" formatCode="General">
                  <c:v>0.90200000000000002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2-478D-8AE4-1473E9BDE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Rendimiento Sobre Los Activos Totales</a:t>
            </a:r>
            <a:endParaRPr lang="en-US"/>
          </a:p>
        </c:rich>
      </c:tx>
      <c:layout>
        <c:manualLayout>
          <c:xMode val="edge"/>
          <c:yMode val="edge"/>
          <c:x val="0.15487500000000001"/>
          <c:y val="7.048273377592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'Razones Financieras'!$C$4:$E$4</c:f>
              <c:strCache>
                <c:ptCount val="3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</c:strCache>
            </c:strRef>
          </c:cat>
          <c:val>
            <c:numRef>
              <c:f>'Razones Financieras'!$C$16:$E$16</c:f>
              <c:numCache>
                <c:formatCode>0.000</c:formatCode>
                <c:ptCount val="3"/>
                <c:pt idx="0" formatCode="General">
                  <c:v>0.11</c:v>
                </c:pt>
                <c:pt idx="1">
                  <c:v>0.10489999999999999</c:v>
                </c:pt>
                <c:pt idx="2" formatCode="General">
                  <c:v>9.7000000000000003E-2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F-49B7-A5C4-E35068E1E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248480"/>
        <c:axId val="2092248896"/>
      </c:lineChart>
      <c:catAx>
        <c:axId val="20922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896"/>
        <c:crosses val="autoZero"/>
        <c:auto val="1"/>
        <c:lblAlgn val="ctr"/>
        <c:lblOffset val="100"/>
        <c:noMultiLvlLbl val="0"/>
      </c:catAx>
      <c:valAx>
        <c:axId val="209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Veces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2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azones Financieras'!A1"/><Relationship Id="rId13" Type="http://schemas.openxmlformats.org/officeDocument/2006/relationships/hyperlink" Target="#'Balance General'!A1"/><Relationship Id="rId3" Type="http://schemas.openxmlformats.org/officeDocument/2006/relationships/hyperlink" Target="#Fundamentacion!A1"/><Relationship Id="rId7" Type="http://schemas.openxmlformats.org/officeDocument/2006/relationships/hyperlink" Target="#'Estado Resultados'!A1"/><Relationship Id="rId12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jpeg"/><Relationship Id="rId11" Type="http://schemas.openxmlformats.org/officeDocument/2006/relationships/hyperlink" Target="#FNE!A1"/><Relationship Id="rId5" Type="http://schemas.openxmlformats.org/officeDocument/2006/relationships/hyperlink" Target="#Datos!A1"/><Relationship Id="rId10" Type="http://schemas.openxmlformats.org/officeDocument/2006/relationships/image" Target="../media/image6.jpeg"/><Relationship Id="rId4" Type="http://schemas.openxmlformats.org/officeDocument/2006/relationships/image" Target="../media/image3.png"/><Relationship Id="rId9" Type="http://schemas.openxmlformats.org/officeDocument/2006/relationships/image" Target="../media/image5.jpeg"/><Relationship Id="rId14" Type="http://schemas.openxmlformats.org/officeDocument/2006/relationships/image" Target="../media/image8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FNE!A1"/><Relationship Id="rId3" Type="http://schemas.openxmlformats.org/officeDocument/2006/relationships/image" Target="../media/image4.jpeg"/><Relationship Id="rId7" Type="http://schemas.openxmlformats.org/officeDocument/2006/relationships/image" Target="../media/image6.jpeg"/><Relationship Id="rId12" Type="http://schemas.openxmlformats.org/officeDocument/2006/relationships/image" Target="../media/image9.jpeg"/><Relationship Id="rId2" Type="http://schemas.openxmlformats.org/officeDocument/2006/relationships/hyperlink" Target="#Datos!A1"/><Relationship Id="rId1" Type="http://schemas.openxmlformats.org/officeDocument/2006/relationships/hyperlink" Target="#Portada!A1"/><Relationship Id="rId6" Type="http://schemas.openxmlformats.org/officeDocument/2006/relationships/image" Target="../media/image5.jpeg"/><Relationship Id="rId11" Type="http://schemas.openxmlformats.org/officeDocument/2006/relationships/image" Target="../media/image8.gif"/><Relationship Id="rId5" Type="http://schemas.openxmlformats.org/officeDocument/2006/relationships/hyperlink" Target="#'Razones Financieras'!A1"/><Relationship Id="rId10" Type="http://schemas.openxmlformats.org/officeDocument/2006/relationships/hyperlink" Target="#'Balance General'!A1"/><Relationship Id="rId4" Type="http://schemas.openxmlformats.org/officeDocument/2006/relationships/hyperlink" Target="#'Estado Resultados'!A1"/><Relationship Id="rId9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Balance General'!A1"/><Relationship Id="rId3" Type="http://schemas.openxmlformats.org/officeDocument/2006/relationships/hyperlink" Target="#'Razones Financieras'!A1"/><Relationship Id="rId7" Type="http://schemas.openxmlformats.org/officeDocument/2006/relationships/image" Target="../media/image7.jpeg"/><Relationship Id="rId12" Type="http://schemas.openxmlformats.org/officeDocument/2006/relationships/image" Target="../media/image3.png"/><Relationship Id="rId2" Type="http://schemas.openxmlformats.org/officeDocument/2006/relationships/hyperlink" Target="#'Estado Resultados'!A1"/><Relationship Id="rId1" Type="http://schemas.openxmlformats.org/officeDocument/2006/relationships/hyperlink" Target="#Portada!A1"/><Relationship Id="rId6" Type="http://schemas.openxmlformats.org/officeDocument/2006/relationships/hyperlink" Target="#FNE!A1"/><Relationship Id="rId11" Type="http://schemas.openxmlformats.org/officeDocument/2006/relationships/hyperlink" Target="#Fundamentacion!A1"/><Relationship Id="rId5" Type="http://schemas.openxmlformats.org/officeDocument/2006/relationships/image" Target="../media/image6.jpeg"/><Relationship Id="rId10" Type="http://schemas.openxmlformats.org/officeDocument/2006/relationships/image" Target="../media/image9.jpeg"/><Relationship Id="rId4" Type="http://schemas.openxmlformats.org/officeDocument/2006/relationships/image" Target="../media/image5.jpeg"/><Relationship Id="rId9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5.jpeg"/><Relationship Id="rId7" Type="http://schemas.openxmlformats.org/officeDocument/2006/relationships/image" Target="../media/image8.gif"/><Relationship Id="rId12" Type="http://schemas.openxmlformats.org/officeDocument/2006/relationships/image" Target="../media/image4.jpeg"/><Relationship Id="rId2" Type="http://schemas.openxmlformats.org/officeDocument/2006/relationships/hyperlink" Target="#'Razones Financieras'!A1"/><Relationship Id="rId1" Type="http://schemas.openxmlformats.org/officeDocument/2006/relationships/hyperlink" Target="#Portada!A1"/><Relationship Id="rId6" Type="http://schemas.openxmlformats.org/officeDocument/2006/relationships/hyperlink" Target="#'Balance General'!A1"/><Relationship Id="rId11" Type="http://schemas.openxmlformats.org/officeDocument/2006/relationships/hyperlink" Target="#Datos!A1"/><Relationship Id="rId5" Type="http://schemas.openxmlformats.org/officeDocument/2006/relationships/image" Target="../media/image7.jpeg"/><Relationship Id="rId10" Type="http://schemas.openxmlformats.org/officeDocument/2006/relationships/image" Target="../media/image3.png"/><Relationship Id="rId4" Type="http://schemas.openxmlformats.org/officeDocument/2006/relationships/hyperlink" Target="#FNE!A1"/><Relationship Id="rId9" Type="http://schemas.openxmlformats.org/officeDocument/2006/relationships/hyperlink" Target="#Fundamentacion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5.jpeg"/><Relationship Id="rId7" Type="http://schemas.openxmlformats.org/officeDocument/2006/relationships/hyperlink" Target="#Fundamentacion!A1"/><Relationship Id="rId12" Type="http://schemas.openxmlformats.org/officeDocument/2006/relationships/image" Target="../media/image6.jpeg"/><Relationship Id="rId2" Type="http://schemas.openxmlformats.org/officeDocument/2006/relationships/hyperlink" Target="#'Razones Financieras'!A1"/><Relationship Id="rId1" Type="http://schemas.openxmlformats.org/officeDocument/2006/relationships/hyperlink" Target="#Portada!A1"/><Relationship Id="rId6" Type="http://schemas.openxmlformats.org/officeDocument/2006/relationships/image" Target="../media/image9.jpeg"/><Relationship Id="rId11" Type="http://schemas.openxmlformats.org/officeDocument/2006/relationships/hyperlink" Target="#'Estado Resultados'!A1"/><Relationship Id="rId5" Type="http://schemas.openxmlformats.org/officeDocument/2006/relationships/image" Target="../media/image8.gif"/><Relationship Id="rId10" Type="http://schemas.openxmlformats.org/officeDocument/2006/relationships/image" Target="../media/image4.jpeg"/><Relationship Id="rId4" Type="http://schemas.openxmlformats.org/officeDocument/2006/relationships/hyperlink" Target="#'Balance General'!A1"/><Relationship Id="rId9" Type="http://schemas.openxmlformats.org/officeDocument/2006/relationships/hyperlink" Target="#Dato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image" Target="../media/image5.jpeg"/><Relationship Id="rId7" Type="http://schemas.openxmlformats.org/officeDocument/2006/relationships/hyperlink" Target="#Datos!A1"/><Relationship Id="rId12" Type="http://schemas.openxmlformats.org/officeDocument/2006/relationships/image" Target="../media/image7.jpeg"/><Relationship Id="rId2" Type="http://schemas.openxmlformats.org/officeDocument/2006/relationships/hyperlink" Target="#'Razones Financieras'!A1"/><Relationship Id="rId1" Type="http://schemas.openxmlformats.org/officeDocument/2006/relationships/hyperlink" Target="#Portada!A1"/><Relationship Id="rId6" Type="http://schemas.openxmlformats.org/officeDocument/2006/relationships/image" Target="../media/image3.png"/><Relationship Id="rId11" Type="http://schemas.openxmlformats.org/officeDocument/2006/relationships/hyperlink" Target="#FNE!A1"/><Relationship Id="rId5" Type="http://schemas.openxmlformats.org/officeDocument/2006/relationships/hyperlink" Target="#Fundamentacion!A1"/><Relationship Id="rId10" Type="http://schemas.openxmlformats.org/officeDocument/2006/relationships/image" Target="../media/image6.jpeg"/><Relationship Id="rId4" Type="http://schemas.openxmlformats.org/officeDocument/2006/relationships/image" Target="../media/image9.jpeg"/><Relationship Id="rId9" Type="http://schemas.openxmlformats.org/officeDocument/2006/relationships/hyperlink" Target="#'Estado Resultad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hyperlink" Target="#Portada!A1"/><Relationship Id="rId18" Type="http://schemas.openxmlformats.org/officeDocument/2006/relationships/image" Target="../media/image4.jpeg"/><Relationship Id="rId3" Type="http://schemas.openxmlformats.org/officeDocument/2006/relationships/chart" Target="../charts/chart3.xml"/><Relationship Id="rId21" Type="http://schemas.openxmlformats.org/officeDocument/2006/relationships/hyperlink" Target="#FNE!A1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hyperlink" Target="#Datos!A1"/><Relationship Id="rId25" Type="http://schemas.openxmlformats.org/officeDocument/2006/relationships/image" Target="../media/image10.jpeg"/><Relationship Id="rId2" Type="http://schemas.openxmlformats.org/officeDocument/2006/relationships/chart" Target="../charts/chart2.xml"/><Relationship Id="rId16" Type="http://schemas.openxmlformats.org/officeDocument/2006/relationships/image" Target="../media/image3.png"/><Relationship Id="rId20" Type="http://schemas.openxmlformats.org/officeDocument/2006/relationships/image" Target="../media/image6.jpe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8.gif"/><Relationship Id="rId5" Type="http://schemas.openxmlformats.org/officeDocument/2006/relationships/chart" Target="../charts/chart5.xml"/><Relationship Id="rId15" Type="http://schemas.openxmlformats.org/officeDocument/2006/relationships/hyperlink" Target="#Fundamentacion!A1"/><Relationship Id="rId23" Type="http://schemas.openxmlformats.org/officeDocument/2006/relationships/hyperlink" Target="#'Balance General'!A1"/><Relationship Id="rId10" Type="http://schemas.openxmlformats.org/officeDocument/2006/relationships/chart" Target="../charts/chart10.xml"/><Relationship Id="rId19" Type="http://schemas.openxmlformats.org/officeDocument/2006/relationships/hyperlink" Target="#'Estado Resultados'!A1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9.jpeg"/><Relationship Id="rId22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165287</xdr:colOff>
      <xdr:row>1</xdr:row>
      <xdr:rowOff>25214</xdr:rowOff>
    </xdr:from>
    <xdr:to>
      <xdr:col>2</xdr:col>
      <xdr:colOff>231962</xdr:colOff>
      <xdr:row>12</xdr:row>
      <xdr:rowOff>152214</xdr:rowOff>
    </xdr:to>
    <xdr:pic>
      <xdr:nvPicPr>
        <xdr:cNvPr id="2" name="27 Imagen" descr="ipn.p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571" r="13857"/>
        <a:stretch/>
      </xdr:blipFill>
      <xdr:spPr>
        <a:xfrm>
          <a:off x="165287" y="215714"/>
          <a:ext cx="1590675" cy="2222500"/>
        </a:xfrm>
        <a:prstGeom prst="rect">
          <a:avLst/>
        </a:prstGeom>
      </xdr:spPr>
    </xdr:pic>
    <xdr:clientData/>
  </xdr:twoCellAnchor>
  <xdr:twoCellAnchor editAs="oneCell">
    <xdr:from>
      <xdr:col>6</xdr:col>
      <xdr:colOff>657225</xdr:colOff>
      <xdr:row>3</xdr:row>
      <xdr:rowOff>85725</xdr:rowOff>
    </xdr:from>
    <xdr:to>
      <xdr:col>9</xdr:col>
      <xdr:colOff>393195</xdr:colOff>
      <xdr:row>11</xdr:row>
      <xdr:rowOff>19050</xdr:rowOff>
    </xdr:to>
    <xdr:pic>
      <xdr:nvPicPr>
        <xdr:cNvPr id="3" name="22 Imagen" descr="escom.pn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0028" b="16530"/>
        <a:stretch/>
      </xdr:blipFill>
      <xdr:spPr>
        <a:xfrm>
          <a:off x="5229225" y="657225"/>
          <a:ext cx="2021970" cy="1457325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30</xdr:row>
      <xdr:rowOff>171450</xdr:rowOff>
    </xdr:from>
    <xdr:to>
      <xdr:col>2</xdr:col>
      <xdr:colOff>342900</xdr:colOff>
      <xdr:row>32</xdr:row>
      <xdr:rowOff>76200</xdr:rowOff>
    </xdr:to>
    <xdr:sp macro="" textlink="">
      <xdr:nvSpPr>
        <xdr:cNvPr id="4" name="Rectángulo redondeado 3">
          <a:hlinkClick xmlns:r="http://schemas.openxmlformats.org/officeDocument/2006/relationships" r:id="rId3"/>
        </xdr:cNvPr>
        <xdr:cNvSpPr/>
      </xdr:nvSpPr>
      <xdr:spPr>
        <a:xfrm>
          <a:off x="219075" y="601980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0</xdr:col>
      <xdr:colOff>514350</xdr:colOff>
      <xdr:row>24</xdr:row>
      <xdr:rowOff>104775</xdr:rowOff>
    </xdr:from>
    <xdr:to>
      <xdr:col>2</xdr:col>
      <xdr:colOff>38100</xdr:colOff>
      <xdr:row>30</xdr:row>
      <xdr:rowOff>9525</xdr:rowOff>
    </xdr:to>
    <xdr:pic>
      <xdr:nvPicPr>
        <xdr:cNvPr id="5" name="Imagen 4" descr="Resultado de imagen para portapapeles animada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481012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31</xdr:row>
      <xdr:rowOff>0</xdr:rowOff>
    </xdr:from>
    <xdr:to>
      <xdr:col>5</xdr:col>
      <xdr:colOff>123825</xdr:colOff>
      <xdr:row>32</xdr:row>
      <xdr:rowOff>95250</xdr:rowOff>
    </xdr:to>
    <xdr:sp macro="" textlink="">
      <xdr:nvSpPr>
        <xdr:cNvPr id="7" name="Rectángulo redondeado 6">
          <a:hlinkClick xmlns:r="http://schemas.openxmlformats.org/officeDocument/2006/relationships" r:id="rId5"/>
        </xdr:cNvPr>
        <xdr:cNvSpPr/>
      </xdr:nvSpPr>
      <xdr:spPr>
        <a:xfrm>
          <a:off x="2286000" y="60388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3</xdr:col>
      <xdr:colOff>142875</xdr:colOff>
      <xdr:row>24</xdr:row>
      <xdr:rowOff>149641</xdr:rowOff>
    </xdr:from>
    <xdr:to>
      <xdr:col>5</xdr:col>
      <xdr:colOff>0</xdr:colOff>
      <xdr:row>30</xdr:row>
      <xdr:rowOff>85724</xdr:rowOff>
    </xdr:to>
    <xdr:pic>
      <xdr:nvPicPr>
        <xdr:cNvPr id="9" name="Imagen 8" descr="Resultado de imagen para datos animada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2428875" y="485499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581025</xdr:colOff>
      <xdr:row>30</xdr:row>
      <xdr:rowOff>19049</xdr:rowOff>
    </xdr:from>
    <xdr:to>
      <xdr:col>7</xdr:col>
      <xdr:colOff>704850</xdr:colOff>
      <xdr:row>32</xdr:row>
      <xdr:rowOff>123825</xdr:rowOff>
    </xdr:to>
    <xdr:sp macro="" textlink="">
      <xdr:nvSpPr>
        <xdr:cNvPr id="10" name="Rectángulo redondeado 9">
          <a:hlinkClick xmlns:r="http://schemas.openxmlformats.org/officeDocument/2006/relationships" r:id="rId7"/>
        </xdr:cNvPr>
        <xdr:cNvSpPr/>
      </xdr:nvSpPr>
      <xdr:spPr>
        <a:xfrm>
          <a:off x="4391025" y="5867399"/>
          <a:ext cx="1647825" cy="4857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6</xdr:col>
      <xdr:colOff>57150</xdr:colOff>
      <xdr:row>33</xdr:row>
      <xdr:rowOff>115314</xdr:rowOff>
    </xdr:from>
    <xdr:to>
      <xdr:col>7</xdr:col>
      <xdr:colOff>533400</xdr:colOff>
      <xdr:row>38</xdr:row>
      <xdr:rowOff>76200</xdr:rowOff>
    </xdr:to>
    <xdr:pic>
      <xdr:nvPicPr>
        <xdr:cNvPr id="11" name="Imagen 10" descr="Resultado de imagen para datos animada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6535164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304800</xdr:colOff>
      <xdr:row>44</xdr:row>
      <xdr:rowOff>114300</xdr:rowOff>
    </xdr:to>
    <xdr:sp macro="" textlink="">
      <xdr:nvSpPr>
        <xdr:cNvPr id="1028" name="AutoShape 4" descr="Resultado de imagen para resultados animada"/>
        <xdr:cNvSpPr>
          <a:spLocks noChangeAspect="1" noChangeArrowheads="1"/>
        </xdr:cNvSpPr>
      </xdr:nvSpPr>
      <xdr:spPr bwMode="auto">
        <a:xfrm>
          <a:off x="2286000" y="832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304800</xdr:colOff>
      <xdr:row>49</xdr:row>
      <xdr:rowOff>114300</xdr:rowOff>
    </xdr:to>
    <xdr:sp macro="" textlink="">
      <xdr:nvSpPr>
        <xdr:cNvPr id="1030" name="AutoShape 6" descr="Resultado de imagen para resultados animada"/>
        <xdr:cNvSpPr>
          <a:spLocks noChangeAspect="1" noChangeArrowheads="1"/>
        </xdr:cNvSpPr>
      </xdr:nvSpPr>
      <xdr:spPr bwMode="auto">
        <a:xfrm>
          <a:off x="3048000" y="927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304800</xdr:colOff>
      <xdr:row>49</xdr:row>
      <xdr:rowOff>114300</xdr:rowOff>
    </xdr:to>
    <xdr:sp macro="" textlink="">
      <xdr:nvSpPr>
        <xdr:cNvPr id="1031" name="AutoShape 7" descr="Resultado de imagen para resultados animada"/>
        <xdr:cNvSpPr>
          <a:spLocks noChangeAspect="1" noChangeArrowheads="1"/>
        </xdr:cNvSpPr>
      </xdr:nvSpPr>
      <xdr:spPr bwMode="auto">
        <a:xfrm>
          <a:off x="3048000" y="927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733426</xdr:colOff>
      <xdr:row>25</xdr:row>
      <xdr:rowOff>133350</xdr:rowOff>
    </xdr:from>
    <xdr:to>
      <xdr:col>7</xdr:col>
      <xdr:colOff>647700</xdr:colOff>
      <xdr:row>29</xdr:row>
      <xdr:rowOff>112178</xdr:rowOff>
    </xdr:to>
    <xdr:pic>
      <xdr:nvPicPr>
        <xdr:cNvPr id="16" name="Imagen 15" descr="Resultados, tipografÃ­a animada â  Fotos de Stock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4543426" y="5029200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180975</xdr:colOff>
      <xdr:row>39</xdr:row>
      <xdr:rowOff>104775</xdr:rowOff>
    </xdr:from>
    <xdr:to>
      <xdr:col>2</xdr:col>
      <xdr:colOff>304800</xdr:colOff>
      <xdr:row>41</xdr:row>
      <xdr:rowOff>9525</xdr:rowOff>
    </xdr:to>
    <xdr:sp macro="" textlink="">
      <xdr:nvSpPr>
        <xdr:cNvPr id="17" name="Rectángulo redondeado 16">
          <a:hlinkClick xmlns:r="http://schemas.openxmlformats.org/officeDocument/2006/relationships" r:id="rId11"/>
        </xdr:cNvPr>
        <xdr:cNvSpPr/>
      </xdr:nvSpPr>
      <xdr:spPr>
        <a:xfrm>
          <a:off x="180975" y="7667625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0</xdr:col>
      <xdr:colOff>361950</xdr:colOff>
      <xdr:row>34</xdr:row>
      <xdr:rowOff>28575</xdr:rowOff>
    </xdr:from>
    <xdr:to>
      <xdr:col>2</xdr:col>
      <xdr:colOff>133350</xdr:colOff>
      <xdr:row>39</xdr:row>
      <xdr:rowOff>69438</xdr:rowOff>
    </xdr:to>
    <xdr:pic>
      <xdr:nvPicPr>
        <xdr:cNvPr id="18" name="Imagen 17" descr="Resultado de imagen para flechas de flujo animada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361950" y="6638925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752475</xdr:colOff>
      <xdr:row>39</xdr:row>
      <xdr:rowOff>114300</xdr:rowOff>
    </xdr:from>
    <xdr:to>
      <xdr:col>5</xdr:col>
      <xdr:colOff>114300</xdr:colOff>
      <xdr:row>41</xdr:row>
      <xdr:rowOff>19050</xdr:rowOff>
    </xdr:to>
    <xdr:sp macro="" textlink="">
      <xdr:nvSpPr>
        <xdr:cNvPr id="21" name="Rectángulo redondeado 20">
          <a:hlinkClick xmlns:r="http://schemas.openxmlformats.org/officeDocument/2006/relationships" r:id="rId13"/>
        </xdr:cNvPr>
        <xdr:cNvSpPr/>
      </xdr:nvSpPr>
      <xdr:spPr>
        <a:xfrm>
          <a:off x="2276475" y="76771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3</xdr:col>
      <xdr:colOff>495300</xdr:colOff>
      <xdr:row>34</xdr:row>
      <xdr:rowOff>94104</xdr:rowOff>
    </xdr:from>
    <xdr:to>
      <xdr:col>4</xdr:col>
      <xdr:colOff>466724</xdr:colOff>
      <xdr:row>38</xdr:row>
      <xdr:rowOff>180974</xdr:rowOff>
    </xdr:to>
    <xdr:pic>
      <xdr:nvPicPr>
        <xdr:cNvPr id="23" name="Imagen 22" descr="Resultado de imagen para balanza animada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0" y="6704454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590550</xdr:colOff>
      <xdr:row>38</xdr:row>
      <xdr:rowOff>142874</xdr:rowOff>
    </xdr:from>
    <xdr:to>
      <xdr:col>7</xdr:col>
      <xdr:colOff>714375</xdr:colOff>
      <xdr:row>41</xdr:row>
      <xdr:rowOff>66675</xdr:rowOff>
    </xdr:to>
    <xdr:sp macro="" textlink="">
      <xdr:nvSpPr>
        <xdr:cNvPr id="24" name="Rectángulo redondeado 23">
          <a:hlinkClick xmlns:r="http://schemas.openxmlformats.org/officeDocument/2006/relationships" r:id="rId8"/>
        </xdr:cNvPr>
        <xdr:cNvSpPr/>
      </xdr:nvSpPr>
      <xdr:spPr>
        <a:xfrm>
          <a:off x="4400550" y="7515224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51</xdr:row>
      <xdr:rowOff>171450</xdr:rowOff>
    </xdr:from>
    <xdr:to>
      <xdr:col>2</xdr:col>
      <xdr:colOff>342900</xdr:colOff>
      <xdr:row>53</xdr:row>
      <xdr:rowOff>76200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219075" y="601980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>
    <xdr:from>
      <xdr:col>3</xdr:col>
      <xdr:colOff>0</xdr:colOff>
      <xdr:row>52</xdr:row>
      <xdr:rowOff>0</xdr:rowOff>
    </xdr:from>
    <xdr:to>
      <xdr:col>5</xdr:col>
      <xdr:colOff>123825</xdr:colOff>
      <xdr:row>53</xdr:row>
      <xdr:rowOff>95250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2286000" y="60388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3</xdr:col>
      <xdr:colOff>142875</xdr:colOff>
      <xdr:row>45</xdr:row>
      <xdr:rowOff>149641</xdr:rowOff>
    </xdr:from>
    <xdr:to>
      <xdr:col>5</xdr:col>
      <xdr:colOff>0</xdr:colOff>
      <xdr:row>51</xdr:row>
      <xdr:rowOff>85724</xdr:rowOff>
    </xdr:to>
    <xdr:pic>
      <xdr:nvPicPr>
        <xdr:cNvPr id="5" name="Imagen 4" descr="Resultado de imagen para datos animad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2428875" y="485499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581025</xdr:colOff>
      <xdr:row>51</xdr:row>
      <xdr:rowOff>19049</xdr:rowOff>
    </xdr:from>
    <xdr:to>
      <xdr:col>7</xdr:col>
      <xdr:colOff>704850</xdr:colOff>
      <xdr:row>53</xdr:row>
      <xdr:rowOff>123825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4391025" y="5867399"/>
          <a:ext cx="1647825" cy="4857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6</xdr:col>
      <xdr:colOff>57150</xdr:colOff>
      <xdr:row>54</xdr:row>
      <xdr:rowOff>115314</xdr:rowOff>
    </xdr:from>
    <xdr:to>
      <xdr:col>7</xdr:col>
      <xdr:colOff>533400</xdr:colOff>
      <xdr:row>59</xdr:row>
      <xdr:rowOff>76200</xdr:rowOff>
    </xdr:to>
    <xdr:pic>
      <xdr:nvPicPr>
        <xdr:cNvPr id="7" name="Imagen 6" descr="Resultado de imagen para datos animada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6535164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733426</xdr:colOff>
      <xdr:row>46</xdr:row>
      <xdr:rowOff>133350</xdr:rowOff>
    </xdr:from>
    <xdr:to>
      <xdr:col>7</xdr:col>
      <xdr:colOff>647700</xdr:colOff>
      <xdr:row>50</xdr:row>
      <xdr:rowOff>112178</xdr:rowOff>
    </xdr:to>
    <xdr:pic>
      <xdr:nvPicPr>
        <xdr:cNvPr id="8" name="Imagen 7" descr="Resultados, tipografÃ­a animada â  Fotos de Stock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4543426" y="5029200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180975</xdr:colOff>
      <xdr:row>60</xdr:row>
      <xdr:rowOff>104775</xdr:rowOff>
    </xdr:from>
    <xdr:to>
      <xdr:col>2</xdr:col>
      <xdr:colOff>304800</xdr:colOff>
      <xdr:row>62</xdr:row>
      <xdr:rowOff>9525</xdr:rowOff>
    </xdr:to>
    <xdr:sp macro="" textlink="">
      <xdr:nvSpPr>
        <xdr:cNvPr id="9" name="Rectángulo redondeado 8">
          <a:hlinkClick xmlns:r="http://schemas.openxmlformats.org/officeDocument/2006/relationships" r:id="rId8"/>
        </xdr:cNvPr>
        <xdr:cNvSpPr/>
      </xdr:nvSpPr>
      <xdr:spPr>
        <a:xfrm>
          <a:off x="180975" y="7667625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0</xdr:col>
      <xdr:colOff>361950</xdr:colOff>
      <xdr:row>55</xdr:row>
      <xdr:rowOff>28575</xdr:rowOff>
    </xdr:from>
    <xdr:to>
      <xdr:col>2</xdr:col>
      <xdr:colOff>133350</xdr:colOff>
      <xdr:row>60</xdr:row>
      <xdr:rowOff>69438</xdr:rowOff>
    </xdr:to>
    <xdr:pic>
      <xdr:nvPicPr>
        <xdr:cNvPr id="10" name="Imagen 9" descr="Resultado de imagen para flechas de flujo animada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361950" y="6638925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752475</xdr:colOff>
      <xdr:row>60</xdr:row>
      <xdr:rowOff>114300</xdr:rowOff>
    </xdr:from>
    <xdr:to>
      <xdr:col>5</xdr:col>
      <xdr:colOff>114300</xdr:colOff>
      <xdr:row>62</xdr:row>
      <xdr:rowOff>19050</xdr:rowOff>
    </xdr:to>
    <xdr:sp macro="" textlink="">
      <xdr:nvSpPr>
        <xdr:cNvPr id="11" name="Rectángulo redondeado 10">
          <a:hlinkClick xmlns:r="http://schemas.openxmlformats.org/officeDocument/2006/relationships" r:id="rId10"/>
        </xdr:cNvPr>
        <xdr:cNvSpPr/>
      </xdr:nvSpPr>
      <xdr:spPr>
        <a:xfrm>
          <a:off x="2276475" y="76771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3</xdr:col>
      <xdr:colOff>495300</xdr:colOff>
      <xdr:row>55</xdr:row>
      <xdr:rowOff>94104</xdr:rowOff>
    </xdr:from>
    <xdr:to>
      <xdr:col>4</xdr:col>
      <xdr:colOff>466724</xdr:colOff>
      <xdr:row>59</xdr:row>
      <xdr:rowOff>180974</xdr:rowOff>
    </xdr:to>
    <xdr:pic>
      <xdr:nvPicPr>
        <xdr:cNvPr id="12" name="Imagen 11" descr="Resultado de imagen para balanza animada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0" y="6704454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590550</xdr:colOff>
      <xdr:row>59</xdr:row>
      <xdr:rowOff>142874</xdr:rowOff>
    </xdr:from>
    <xdr:to>
      <xdr:col>7</xdr:col>
      <xdr:colOff>714375</xdr:colOff>
      <xdr:row>62</xdr:row>
      <xdr:rowOff>66675</xdr:rowOff>
    </xdr:to>
    <xdr:sp macro="" textlink="">
      <xdr:nvSpPr>
        <xdr:cNvPr id="13" name="Rectángulo redondeado 12">
          <a:hlinkClick xmlns:r="http://schemas.openxmlformats.org/officeDocument/2006/relationships" r:id="rId5"/>
        </xdr:cNvPr>
        <xdr:cNvSpPr/>
      </xdr:nvSpPr>
      <xdr:spPr>
        <a:xfrm>
          <a:off x="4400550" y="7515224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0</xdr:col>
      <xdr:colOff>438150</xdr:colOff>
      <xdr:row>45</xdr:row>
      <xdr:rowOff>96969</xdr:rowOff>
    </xdr:from>
    <xdr:to>
      <xdr:col>2</xdr:col>
      <xdr:colOff>85724</xdr:colOff>
      <xdr:row>51</xdr:row>
      <xdr:rowOff>85538</xdr:rowOff>
    </xdr:to>
    <xdr:pic>
      <xdr:nvPicPr>
        <xdr:cNvPr id="14" name="Imagen 13" descr="Resultado de imagen para docs animado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438150" y="8736144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7</xdr:row>
      <xdr:rowOff>171450</xdr:rowOff>
    </xdr:from>
    <xdr:to>
      <xdr:col>9</xdr:col>
      <xdr:colOff>342900</xdr:colOff>
      <xdr:row>9</xdr:row>
      <xdr:rowOff>76200</xdr:rowOff>
    </xdr:to>
    <xdr:sp macro="" textlink="">
      <xdr:nvSpPr>
        <xdr:cNvPr id="14" name="Rectángulo redondeado 13">
          <a:hlinkClick xmlns:r="http://schemas.openxmlformats.org/officeDocument/2006/relationships" r:id="rId1"/>
        </xdr:cNvPr>
        <xdr:cNvSpPr/>
      </xdr:nvSpPr>
      <xdr:spPr>
        <a:xfrm>
          <a:off x="219075" y="9953625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>
    <xdr:from>
      <xdr:col>12</xdr:col>
      <xdr:colOff>581025</xdr:colOff>
      <xdr:row>7</xdr:row>
      <xdr:rowOff>19049</xdr:rowOff>
    </xdr:from>
    <xdr:to>
      <xdr:col>14</xdr:col>
      <xdr:colOff>704850</xdr:colOff>
      <xdr:row>9</xdr:row>
      <xdr:rowOff>123825</xdr:rowOff>
    </xdr:to>
    <xdr:sp macro="" textlink="">
      <xdr:nvSpPr>
        <xdr:cNvPr id="17" name="Rectángulo redondeado 16">
          <a:hlinkClick xmlns:r="http://schemas.openxmlformats.org/officeDocument/2006/relationships" r:id="rId2"/>
        </xdr:cNvPr>
        <xdr:cNvSpPr/>
      </xdr:nvSpPr>
      <xdr:spPr>
        <a:xfrm>
          <a:off x="4391025" y="9801224"/>
          <a:ext cx="1647825" cy="4857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13</xdr:col>
      <xdr:colOff>57150</xdr:colOff>
      <xdr:row>10</xdr:row>
      <xdr:rowOff>115314</xdr:rowOff>
    </xdr:from>
    <xdr:to>
      <xdr:col>14</xdr:col>
      <xdr:colOff>533400</xdr:colOff>
      <xdr:row>15</xdr:row>
      <xdr:rowOff>28575</xdr:rowOff>
    </xdr:to>
    <xdr:pic>
      <xdr:nvPicPr>
        <xdr:cNvPr id="18" name="Imagen 17" descr="Resultado de imagen para datos animada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0468989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733426</xdr:colOff>
      <xdr:row>2</xdr:row>
      <xdr:rowOff>133350</xdr:rowOff>
    </xdr:from>
    <xdr:to>
      <xdr:col>14</xdr:col>
      <xdr:colOff>647700</xdr:colOff>
      <xdr:row>6</xdr:row>
      <xdr:rowOff>74078</xdr:rowOff>
    </xdr:to>
    <xdr:pic>
      <xdr:nvPicPr>
        <xdr:cNvPr id="19" name="Imagen 18" descr="Resultados, tipografÃ­a animada â  Fotos de Stock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4543426" y="8963025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180975</xdr:colOff>
      <xdr:row>16</xdr:row>
      <xdr:rowOff>104775</xdr:rowOff>
    </xdr:from>
    <xdr:to>
      <xdr:col>9</xdr:col>
      <xdr:colOff>304800</xdr:colOff>
      <xdr:row>18</xdr:row>
      <xdr:rowOff>9525</xdr:rowOff>
    </xdr:to>
    <xdr:sp macro="" textlink="">
      <xdr:nvSpPr>
        <xdr:cNvPr id="20" name="Rectángulo redondeado 19">
          <a:hlinkClick xmlns:r="http://schemas.openxmlformats.org/officeDocument/2006/relationships" r:id="rId6"/>
        </xdr:cNvPr>
        <xdr:cNvSpPr/>
      </xdr:nvSpPr>
      <xdr:spPr>
        <a:xfrm>
          <a:off x="180975" y="116014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7</xdr:col>
      <xdr:colOff>361950</xdr:colOff>
      <xdr:row>11</xdr:row>
      <xdr:rowOff>28575</xdr:rowOff>
    </xdr:from>
    <xdr:to>
      <xdr:col>9</xdr:col>
      <xdr:colOff>133350</xdr:colOff>
      <xdr:row>16</xdr:row>
      <xdr:rowOff>31338</xdr:rowOff>
    </xdr:to>
    <xdr:pic>
      <xdr:nvPicPr>
        <xdr:cNvPr id="21" name="Imagen 20" descr="Resultado de imagen para flechas de flujo animada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361950" y="10572750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752475</xdr:colOff>
      <xdr:row>16</xdr:row>
      <xdr:rowOff>114300</xdr:rowOff>
    </xdr:from>
    <xdr:to>
      <xdr:col>12</xdr:col>
      <xdr:colOff>114300</xdr:colOff>
      <xdr:row>18</xdr:row>
      <xdr:rowOff>19050</xdr:rowOff>
    </xdr:to>
    <xdr:sp macro="" textlink="">
      <xdr:nvSpPr>
        <xdr:cNvPr id="22" name="Rectángulo redondeado 21">
          <a:hlinkClick xmlns:r="http://schemas.openxmlformats.org/officeDocument/2006/relationships" r:id="rId8"/>
        </xdr:cNvPr>
        <xdr:cNvSpPr/>
      </xdr:nvSpPr>
      <xdr:spPr>
        <a:xfrm>
          <a:off x="2276475" y="11610975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10</xdr:col>
      <xdr:colOff>495300</xdr:colOff>
      <xdr:row>11</xdr:row>
      <xdr:rowOff>94104</xdr:rowOff>
    </xdr:from>
    <xdr:to>
      <xdr:col>11</xdr:col>
      <xdr:colOff>466724</xdr:colOff>
      <xdr:row>15</xdr:row>
      <xdr:rowOff>142874</xdr:rowOff>
    </xdr:to>
    <xdr:pic>
      <xdr:nvPicPr>
        <xdr:cNvPr id="23" name="Imagen 22" descr="Resultado de imagen para balanza animada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0" y="10638279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590550</xdr:colOff>
      <xdr:row>15</xdr:row>
      <xdr:rowOff>142874</xdr:rowOff>
    </xdr:from>
    <xdr:to>
      <xdr:col>14</xdr:col>
      <xdr:colOff>714375</xdr:colOff>
      <xdr:row>18</xdr:row>
      <xdr:rowOff>66675</xdr:rowOff>
    </xdr:to>
    <xdr:sp macro="" textlink="">
      <xdr:nvSpPr>
        <xdr:cNvPr id="24" name="Rectángulo redondeado 23">
          <a:hlinkClick xmlns:r="http://schemas.openxmlformats.org/officeDocument/2006/relationships" r:id="rId3"/>
        </xdr:cNvPr>
        <xdr:cNvSpPr/>
      </xdr:nvSpPr>
      <xdr:spPr>
        <a:xfrm>
          <a:off x="4400550" y="11449049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7</xdr:col>
      <xdr:colOff>438150</xdr:colOff>
      <xdr:row>1</xdr:row>
      <xdr:rowOff>96969</xdr:rowOff>
    </xdr:from>
    <xdr:to>
      <xdr:col>9</xdr:col>
      <xdr:colOff>85724</xdr:colOff>
      <xdr:row>7</xdr:row>
      <xdr:rowOff>37913</xdr:rowOff>
    </xdr:to>
    <xdr:pic>
      <xdr:nvPicPr>
        <xdr:cNvPr id="25" name="Imagen 24" descr="Resultado de imagen para docs animado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438150" y="8736144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57150</xdr:colOff>
      <xdr:row>7</xdr:row>
      <xdr:rowOff>133350</xdr:rowOff>
    </xdr:from>
    <xdr:to>
      <xdr:col>12</xdr:col>
      <xdr:colOff>180975</xdr:colOff>
      <xdr:row>9</xdr:row>
      <xdr:rowOff>38100</xdr:rowOff>
    </xdr:to>
    <xdr:sp macro="" textlink="">
      <xdr:nvSpPr>
        <xdr:cNvPr id="26" name="Rectángulo redondeado 25">
          <a:hlinkClick xmlns:r="http://schemas.openxmlformats.org/officeDocument/2006/relationships" r:id="rId11"/>
        </xdr:cNvPr>
        <xdr:cNvSpPr/>
      </xdr:nvSpPr>
      <xdr:spPr>
        <a:xfrm>
          <a:off x="7677150" y="1571625"/>
          <a:ext cx="1647825" cy="3048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10</xdr:col>
      <xdr:colOff>314325</xdr:colOff>
      <xdr:row>1</xdr:row>
      <xdr:rowOff>161925</xdr:rowOff>
    </xdr:from>
    <xdr:to>
      <xdr:col>11</xdr:col>
      <xdr:colOff>600075</xdr:colOff>
      <xdr:row>7</xdr:row>
      <xdr:rowOff>19050</xdr:rowOff>
    </xdr:to>
    <xdr:pic>
      <xdr:nvPicPr>
        <xdr:cNvPr id="27" name="Imagen 26" descr="Resultado de imagen para portapapeles animada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325" y="40957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27</xdr:row>
      <xdr:rowOff>171450</xdr:rowOff>
    </xdr:from>
    <xdr:to>
      <xdr:col>2</xdr:col>
      <xdr:colOff>342900</xdr:colOff>
      <xdr:row>29</xdr:row>
      <xdr:rowOff>76200</xdr:rowOff>
    </xdr:to>
    <xdr:sp macro="" textlink="">
      <xdr:nvSpPr>
        <xdr:cNvPr id="4" name="Rectángulo redondeado 3">
          <a:hlinkClick xmlns:r="http://schemas.openxmlformats.org/officeDocument/2006/relationships" r:id="rId1"/>
        </xdr:cNvPr>
        <xdr:cNvSpPr/>
      </xdr:nvSpPr>
      <xdr:spPr>
        <a:xfrm>
          <a:off x="5553075" y="1609725"/>
          <a:ext cx="1647825" cy="3048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 editAs="oneCell">
    <xdr:from>
      <xdr:col>4</xdr:col>
      <xdr:colOff>466725</xdr:colOff>
      <xdr:row>29</xdr:row>
      <xdr:rowOff>181989</xdr:rowOff>
    </xdr:from>
    <xdr:to>
      <xdr:col>5</xdr:col>
      <xdr:colOff>676275</xdr:colOff>
      <xdr:row>34</xdr:row>
      <xdr:rowOff>142875</xdr:rowOff>
    </xdr:to>
    <xdr:pic>
      <xdr:nvPicPr>
        <xdr:cNvPr id="6" name="Imagen 5" descr="Resultado de imagen para datos animad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8150" y="5801739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180975</xdr:colOff>
      <xdr:row>36</xdr:row>
      <xdr:rowOff>104775</xdr:rowOff>
    </xdr:from>
    <xdr:to>
      <xdr:col>2</xdr:col>
      <xdr:colOff>304800</xdr:colOff>
      <xdr:row>38</xdr:row>
      <xdr:rowOff>9525</xdr:rowOff>
    </xdr:to>
    <xdr:sp macro="" textlink="">
      <xdr:nvSpPr>
        <xdr:cNvPr id="8" name="Rectángulo redondeado 7">
          <a:hlinkClick xmlns:r="http://schemas.openxmlformats.org/officeDocument/2006/relationships" r:id="rId4"/>
        </xdr:cNvPr>
        <xdr:cNvSpPr/>
      </xdr:nvSpPr>
      <xdr:spPr>
        <a:xfrm>
          <a:off x="5514975" y="33337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0</xdr:col>
      <xdr:colOff>361950</xdr:colOff>
      <xdr:row>31</xdr:row>
      <xdr:rowOff>28575</xdr:rowOff>
    </xdr:from>
    <xdr:to>
      <xdr:col>2</xdr:col>
      <xdr:colOff>533400</xdr:colOff>
      <xdr:row>36</xdr:row>
      <xdr:rowOff>69438</xdr:rowOff>
    </xdr:to>
    <xdr:pic>
      <xdr:nvPicPr>
        <xdr:cNvPr id="9" name="Imagen 8" descr="Resultado de imagen para flechas de flujo animada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5695950" y="2266950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752475</xdr:colOff>
      <xdr:row>36</xdr:row>
      <xdr:rowOff>114300</xdr:rowOff>
    </xdr:from>
    <xdr:to>
      <xdr:col>3</xdr:col>
      <xdr:colOff>647700</xdr:colOff>
      <xdr:row>38</xdr:row>
      <xdr:rowOff>19050</xdr:rowOff>
    </xdr:to>
    <xdr:sp macro="" textlink="">
      <xdr:nvSpPr>
        <xdr:cNvPr id="10" name="Rectángulo redondeado 9">
          <a:hlinkClick xmlns:r="http://schemas.openxmlformats.org/officeDocument/2006/relationships" r:id="rId6"/>
        </xdr:cNvPr>
        <xdr:cNvSpPr/>
      </xdr:nvSpPr>
      <xdr:spPr>
        <a:xfrm>
          <a:off x="1781175" y="7067550"/>
          <a:ext cx="1885950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2</xdr:col>
      <xdr:colOff>1438275</xdr:colOff>
      <xdr:row>31</xdr:row>
      <xdr:rowOff>46479</xdr:rowOff>
    </xdr:from>
    <xdr:to>
      <xdr:col>3</xdr:col>
      <xdr:colOff>180974</xdr:colOff>
      <xdr:row>35</xdr:row>
      <xdr:rowOff>133349</xdr:rowOff>
    </xdr:to>
    <xdr:pic>
      <xdr:nvPicPr>
        <xdr:cNvPr id="11" name="Imagen 10" descr="Resultado de imagen para balanza animada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6975" y="6047229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35</xdr:row>
      <xdr:rowOff>114299</xdr:rowOff>
    </xdr:from>
    <xdr:to>
      <xdr:col>6</xdr:col>
      <xdr:colOff>352425</xdr:colOff>
      <xdr:row>38</xdr:row>
      <xdr:rowOff>38100</xdr:rowOff>
    </xdr:to>
    <xdr:sp macro="" textlink="">
      <xdr:nvSpPr>
        <xdr:cNvPr id="12" name="Rectángulo redondeado 11">
          <a:hlinkClick xmlns:r="http://schemas.openxmlformats.org/officeDocument/2006/relationships" r:id="rId2"/>
        </xdr:cNvPr>
        <xdr:cNvSpPr/>
      </xdr:nvSpPr>
      <xdr:spPr>
        <a:xfrm>
          <a:off x="4010025" y="6877049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0</xdr:col>
      <xdr:colOff>438150</xdr:colOff>
      <xdr:row>21</xdr:row>
      <xdr:rowOff>96969</xdr:rowOff>
    </xdr:from>
    <xdr:to>
      <xdr:col>2</xdr:col>
      <xdr:colOff>409574</xdr:colOff>
      <xdr:row>27</xdr:row>
      <xdr:rowOff>85538</xdr:rowOff>
    </xdr:to>
    <xdr:pic>
      <xdr:nvPicPr>
        <xdr:cNvPr id="13" name="Imagen 12" descr="Resultado de imagen para docs animado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5772150" y="344619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962025</xdr:colOff>
      <xdr:row>27</xdr:row>
      <xdr:rowOff>133350</xdr:rowOff>
    </xdr:from>
    <xdr:to>
      <xdr:col>3</xdr:col>
      <xdr:colOff>619125</xdr:colOff>
      <xdr:row>29</xdr:row>
      <xdr:rowOff>38100</xdr:rowOff>
    </xdr:to>
    <xdr:sp macro="" textlink="">
      <xdr:nvSpPr>
        <xdr:cNvPr id="14" name="Rectángulo redondeado 13">
          <a:hlinkClick xmlns:r="http://schemas.openxmlformats.org/officeDocument/2006/relationships" r:id="rId9"/>
        </xdr:cNvPr>
        <xdr:cNvSpPr/>
      </xdr:nvSpPr>
      <xdr:spPr>
        <a:xfrm>
          <a:off x="1990725" y="537210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2</xdr:col>
      <xdr:colOff>1285875</xdr:colOff>
      <xdr:row>21</xdr:row>
      <xdr:rowOff>104775</xdr:rowOff>
    </xdr:from>
    <xdr:to>
      <xdr:col>3</xdr:col>
      <xdr:colOff>342900</xdr:colOff>
      <xdr:row>27</xdr:row>
      <xdr:rowOff>9525</xdr:rowOff>
    </xdr:to>
    <xdr:pic>
      <xdr:nvPicPr>
        <xdr:cNvPr id="15" name="Imagen 14" descr="Resultado de imagen para portapapeles animada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20052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314325</xdr:colOff>
      <xdr:row>27</xdr:row>
      <xdr:rowOff>114300</xdr:rowOff>
    </xdr:from>
    <xdr:to>
      <xdr:col>6</xdr:col>
      <xdr:colOff>438150</xdr:colOff>
      <xdr:row>29</xdr:row>
      <xdr:rowOff>19050</xdr:rowOff>
    </xdr:to>
    <xdr:sp macro="" textlink="">
      <xdr:nvSpPr>
        <xdr:cNvPr id="18" name="Rectángulo redondeado 17">
          <a:hlinkClick xmlns:r="http://schemas.openxmlformats.org/officeDocument/2006/relationships" r:id="rId11"/>
        </xdr:cNvPr>
        <xdr:cNvSpPr/>
      </xdr:nvSpPr>
      <xdr:spPr>
        <a:xfrm>
          <a:off x="4095750" y="5353050"/>
          <a:ext cx="16478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4</xdr:col>
      <xdr:colOff>438150</xdr:colOff>
      <xdr:row>21</xdr:row>
      <xdr:rowOff>92491</xdr:rowOff>
    </xdr:from>
    <xdr:to>
      <xdr:col>6</xdr:col>
      <xdr:colOff>28575</xdr:colOff>
      <xdr:row>27</xdr:row>
      <xdr:rowOff>28574</xdr:rowOff>
    </xdr:to>
    <xdr:pic>
      <xdr:nvPicPr>
        <xdr:cNvPr id="19" name="Imagen 18" descr="Resultado de imagen para datos animada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4219575" y="418824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6</xdr:row>
      <xdr:rowOff>171450</xdr:rowOff>
    </xdr:from>
    <xdr:to>
      <xdr:col>10</xdr:col>
      <xdr:colOff>342900</xdr:colOff>
      <xdr:row>8</xdr:row>
      <xdr:rowOff>76200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219075" y="5410200"/>
          <a:ext cx="1152525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 editAs="oneCell">
    <xdr:from>
      <xdr:col>13</xdr:col>
      <xdr:colOff>285750</xdr:colOff>
      <xdr:row>8</xdr:row>
      <xdr:rowOff>181989</xdr:rowOff>
    </xdr:from>
    <xdr:to>
      <xdr:col>15</xdr:col>
      <xdr:colOff>0</xdr:colOff>
      <xdr:row>13</xdr:row>
      <xdr:rowOff>123825</xdr:rowOff>
    </xdr:to>
    <xdr:pic>
      <xdr:nvPicPr>
        <xdr:cNvPr id="3" name="Imagen 2" descr="Resultado de imagen para datos animad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1791714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38100</xdr:colOff>
      <xdr:row>14</xdr:row>
      <xdr:rowOff>123825</xdr:rowOff>
    </xdr:from>
    <xdr:to>
      <xdr:col>12</xdr:col>
      <xdr:colOff>504825</xdr:colOff>
      <xdr:row>17</xdr:row>
      <xdr:rowOff>28575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9191625" y="2895600"/>
          <a:ext cx="1228725" cy="4857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11</xdr:col>
      <xdr:colOff>247650</xdr:colOff>
      <xdr:row>9</xdr:row>
      <xdr:rowOff>75054</xdr:rowOff>
    </xdr:from>
    <xdr:to>
      <xdr:col>12</xdr:col>
      <xdr:colOff>219074</xdr:colOff>
      <xdr:row>13</xdr:row>
      <xdr:rowOff>161924</xdr:rowOff>
    </xdr:to>
    <xdr:pic>
      <xdr:nvPicPr>
        <xdr:cNvPr id="7" name="Imagen 6" descr="Resultado de imagen para balanza animada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1175" y="1894329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47625</xdr:colOff>
      <xdr:row>14</xdr:row>
      <xdr:rowOff>114299</xdr:rowOff>
    </xdr:from>
    <xdr:to>
      <xdr:col>15</xdr:col>
      <xdr:colOff>171450</xdr:colOff>
      <xdr:row>17</xdr:row>
      <xdr:rowOff>38100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0725150" y="2886074"/>
          <a:ext cx="1647825" cy="50482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8</xdr:col>
      <xdr:colOff>438150</xdr:colOff>
      <xdr:row>0</xdr:row>
      <xdr:rowOff>96969</xdr:rowOff>
    </xdr:from>
    <xdr:to>
      <xdr:col>10</xdr:col>
      <xdr:colOff>85724</xdr:colOff>
      <xdr:row>6</xdr:row>
      <xdr:rowOff>9338</xdr:rowOff>
    </xdr:to>
    <xdr:pic>
      <xdr:nvPicPr>
        <xdr:cNvPr id="9" name="Imagen 8" descr="Resultado de imagen para docs animado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266700" y="4192719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419100</xdr:colOff>
      <xdr:row>6</xdr:row>
      <xdr:rowOff>180975</xdr:rowOff>
    </xdr:from>
    <xdr:to>
      <xdr:col>12</xdr:col>
      <xdr:colOff>628650</xdr:colOff>
      <xdr:row>8</xdr:row>
      <xdr:rowOff>85725</xdr:rowOff>
    </xdr:to>
    <xdr:sp macro="" textlink="">
      <xdr:nvSpPr>
        <xdr:cNvPr id="10" name="Rectángulo redondeado 9">
          <a:hlinkClick xmlns:r="http://schemas.openxmlformats.org/officeDocument/2006/relationships" r:id="rId7"/>
        </xdr:cNvPr>
        <xdr:cNvSpPr/>
      </xdr:nvSpPr>
      <xdr:spPr>
        <a:xfrm>
          <a:off x="8810625" y="1400175"/>
          <a:ext cx="1733550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10</xdr:col>
      <xdr:colOff>1285875</xdr:colOff>
      <xdr:row>0</xdr:row>
      <xdr:rowOff>104775</xdr:rowOff>
    </xdr:from>
    <xdr:to>
      <xdr:col>12</xdr:col>
      <xdr:colOff>285750</xdr:colOff>
      <xdr:row>5</xdr:row>
      <xdr:rowOff>123825</xdr:rowOff>
    </xdr:to>
    <xdr:pic>
      <xdr:nvPicPr>
        <xdr:cNvPr id="11" name="Imagen 10" descr="Resultado de imagen para portapapeles animada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20052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114300</xdr:colOff>
      <xdr:row>6</xdr:row>
      <xdr:rowOff>171450</xdr:rowOff>
    </xdr:from>
    <xdr:to>
      <xdr:col>15</xdr:col>
      <xdr:colOff>238125</xdr:colOff>
      <xdr:row>8</xdr:row>
      <xdr:rowOff>76200</xdr:rowOff>
    </xdr:to>
    <xdr:sp macro="" textlink="">
      <xdr:nvSpPr>
        <xdr:cNvPr id="12" name="Rectángulo redondeado 11">
          <a:hlinkClick xmlns:r="http://schemas.openxmlformats.org/officeDocument/2006/relationships" r:id="rId9"/>
        </xdr:cNvPr>
        <xdr:cNvSpPr/>
      </xdr:nvSpPr>
      <xdr:spPr>
        <a:xfrm>
          <a:off x="10791825" y="1390650"/>
          <a:ext cx="1647825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13</xdr:col>
      <xdr:colOff>323850</xdr:colOff>
      <xdr:row>0</xdr:row>
      <xdr:rowOff>149641</xdr:rowOff>
    </xdr:from>
    <xdr:to>
      <xdr:col>15</xdr:col>
      <xdr:colOff>180975</xdr:colOff>
      <xdr:row>6</xdr:row>
      <xdr:rowOff>9524</xdr:rowOff>
    </xdr:to>
    <xdr:pic>
      <xdr:nvPicPr>
        <xdr:cNvPr id="13" name="Imagen 12" descr="Resultado de imagen para datos animada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11001375" y="14964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419100</xdr:colOff>
      <xdr:row>14</xdr:row>
      <xdr:rowOff>104774</xdr:rowOff>
    </xdr:from>
    <xdr:to>
      <xdr:col>10</xdr:col>
      <xdr:colOff>542925</xdr:colOff>
      <xdr:row>17</xdr:row>
      <xdr:rowOff>19050</xdr:rowOff>
    </xdr:to>
    <xdr:sp macro="" textlink="">
      <xdr:nvSpPr>
        <xdr:cNvPr id="14" name="Rectángulo redondeado 13">
          <a:hlinkClick xmlns:r="http://schemas.openxmlformats.org/officeDocument/2006/relationships" r:id="rId11"/>
        </xdr:cNvPr>
        <xdr:cNvSpPr/>
      </xdr:nvSpPr>
      <xdr:spPr>
        <a:xfrm>
          <a:off x="7286625" y="2876549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8</xdr:col>
      <xdr:colOff>533401</xdr:colOff>
      <xdr:row>10</xdr:row>
      <xdr:rowOff>57150</xdr:rowOff>
    </xdr:from>
    <xdr:to>
      <xdr:col>10</xdr:col>
      <xdr:colOff>447675</xdr:colOff>
      <xdr:row>14</xdr:row>
      <xdr:rowOff>35978</xdr:rowOff>
    </xdr:to>
    <xdr:pic>
      <xdr:nvPicPr>
        <xdr:cNvPr id="15" name="Imagen 14" descr="Resultados, tipografÃ­a animada â  Fotos de Stock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7400926" y="2066925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171450</xdr:rowOff>
    </xdr:from>
    <xdr:to>
      <xdr:col>13</xdr:col>
      <xdr:colOff>342900</xdr:colOff>
      <xdr:row>9</xdr:row>
      <xdr:rowOff>76200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7086600" y="1390650"/>
          <a:ext cx="1647825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 editAs="oneCell">
    <xdr:from>
      <xdr:col>13</xdr:col>
      <xdr:colOff>752475</xdr:colOff>
      <xdr:row>18</xdr:row>
      <xdr:rowOff>181989</xdr:rowOff>
    </xdr:from>
    <xdr:to>
      <xdr:col>15</xdr:col>
      <xdr:colOff>466725</xdr:colOff>
      <xdr:row>23</xdr:row>
      <xdr:rowOff>76200</xdr:rowOff>
    </xdr:to>
    <xdr:pic>
      <xdr:nvPicPr>
        <xdr:cNvPr id="3" name="Imagen 2" descr="Resultado de imagen para datos animad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5025" y="3801489"/>
          <a:ext cx="1238250" cy="913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23</xdr:row>
      <xdr:rowOff>161924</xdr:rowOff>
    </xdr:from>
    <xdr:to>
      <xdr:col>15</xdr:col>
      <xdr:colOff>714375</xdr:colOff>
      <xdr:row>26</xdr:row>
      <xdr:rowOff>85725</xdr:rowOff>
    </xdr:to>
    <xdr:sp macro="" textlink="">
      <xdr:nvSpPr>
        <xdr:cNvPr id="6" name="Rectángulo redondeado 5">
          <a:hlinkClick xmlns:r="http://schemas.openxmlformats.org/officeDocument/2006/relationships" r:id="rId2"/>
        </xdr:cNvPr>
        <xdr:cNvSpPr/>
      </xdr:nvSpPr>
      <xdr:spPr>
        <a:xfrm>
          <a:off x="9563100" y="4800599"/>
          <a:ext cx="1647825" cy="50482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Razones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Financieras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11</xdr:col>
      <xdr:colOff>438150</xdr:colOff>
      <xdr:row>1</xdr:row>
      <xdr:rowOff>96969</xdr:rowOff>
    </xdr:from>
    <xdr:to>
      <xdr:col>13</xdr:col>
      <xdr:colOff>85724</xdr:colOff>
      <xdr:row>7</xdr:row>
      <xdr:rowOff>9338</xdr:rowOff>
    </xdr:to>
    <xdr:pic>
      <xdr:nvPicPr>
        <xdr:cNvPr id="7" name="Imagen 6" descr="Resultado de imagen para docs animados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7305675" y="96969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419100</xdr:colOff>
      <xdr:row>7</xdr:row>
      <xdr:rowOff>180975</xdr:rowOff>
    </xdr:from>
    <xdr:to>
      <xdr:col>15</xdr:col>
      <xdr:colOff>628650</xdr:colOff>
      <xdr:row>9</xdr:row>
      <xdr:rowOff>85725</xdr:rowOff>
    </xdr:to>
    <xdr:sp macro="" textlink="">
      <xdr:nvSpPr>
        <xdr:cNvPr id="8" name="Rectángulo redondeado 7">
          <a:hlinkClick xmlns:r="http://schemas.openxmlformats.org/officeDocument/2006/relationships" r:id="rId5"/>
        </xdr:cNvPr>
        <xdr:cNvSpPr/>
      </xdr:nvSpPr>
      <xdr:spPr>
        <a:xfrm>
          <a:off x="8810625" y="1400175"/>
          <a:ext cx="1733550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13</xdr:col>
      <xdr:colOff>1285875</xdr:colOff>
      <xdr:row>1</xdr:row>
      <xdr:rowOff>104775</xdr:rowOff>
    </xdr:from>
    <xdr:to>
      <xdr:col>15</xdr:col>
      <xdr:colOff>285750</xdr:colOff>
      <xdr:row>6</xdr:row>
      <xdr:rowOff>123825</xdr:rowOff>
    </xdr:to>
    <xdr:pic>
      <xdr:nvPicPr>
        <xdr:cNvPr id="9" name="Imagen 8" descr="Resultado de imagen para portapapeles animada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3525" y="10477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200025</xdr:colOff>
      <xdr:row>16</xdr:row>
      <xdr:rowOff>9525</xdr:rowOff>
    </xdr:from>
    <xdr:to>
      <xdr:col>13</xdr:col>
      <xdr:colOff>323850</xdr:colOff>
      <xdr:row>17</xdr:row>
      <xdr:rowOff>161925</xdr:rowOff>
    </xdr:to>
    <xdr:sp macro="" textlink="">
      <xdr:nvSpPr>
        <xdr:cNvPr id="10" name="Rectángulo redondeado 9">
          <a:hlinkClick xmlns:r="http://schemas.openxmlformats.org/officeDocument/2006/relationships" r:id="rId7"/>
        </xdr:cNvPr>
        <xdr:cNvSpPr/>
      </xdr:nvSpPr>
      <xdr:spPr>
        <a:xfrm>
          <a:off x="7648575" y="3238500"/>
          <a:ext cx="1647825" cy="3429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11</xdr:col>
      <xdr:colOff>390525</xdr:colOff>
      <xdr:row>10</xdr:row>
      <xdr:rowOff>44866</xdr:rowOff>
    </xdr:from>
    <xdr:to>
      <xdr:col>13</xdr:col>
      <xdr:colOff>247650</xdr:colOff>
      <xdr:row>15</xdr:row>
      <xdr:rowOff>152399</xdr:rowOff>
    </xdr:to>
    <xdr:pic>
      <xdr:nvPicPr>
        <xdr:cNvPr id="11" name="Imagen 10" descr="Resultado de imagen para datos animada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7839075" y="211179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504825</xdr:colOff>
      <xdr:row>15</xdr:row>
      <xdr:rowOff>95249</xdr:rowOff>
    </xdr:from>
    <xdr:to>
      <xdr:col>15</xdr:col>
      <xdr:colOff>628650</xdr:colOff>
      <xdr:row>18</xdr:row>
      <xdr:rowOff>9525</xdr:rowOff>
    </xdr:to>
    <xdr:sp macro="" textlink="">
      <xdr:nvSpPr>
        <xdr:cNvPr id="12" name="Rectángulo redondeado 11">
          <a:hlinkClick xmlns:r="http://schemas.openxmlformats.org/officeDocument/2006/relationships" r:id="rId9"/>
        </xdr:cNvPr>
        <xdr:cNvSpPr/>
      </xdr:nvSpPr>
      <xdr:spPr>
        <a:xfrm>
          <a:off x="9477375" y="3133724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13</xdr:col>
      <xdr:colOff>666751</xdr:colOff>
      <xdr:row>11</xdr:row>
      <xdr:rowOff>76200</xdr:rowOff>
    </xdr:from>
    <xdr:to>
      <xdr:col>15</xdr:col>
      <xdr:colOff>581025</xdr:colOff>
      <xdr:row>15</xdr:row>
      <xdr:rowOff>35978</xdr:rowOff>
    </xdr:to>
    <xdr:pic>
      <xdr:nvPicPr>
        <xdr:cNvPr id="13" name="Imagen 12" descr="Resultados, tipografÃ­a animada â  Fotos de Stock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9639301" y="2333625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266700</xdr:colOff>
      <xdr:row>24</xdr:row>
      <xdr:rowOff>95250</xdr:rowOff>
    </xdr:from>
    <xdr:to>
      <xdr:col>13</xdr:col>
      <xdr:colOff>390525</xdr:colOff>
      <xdr:row>26</xdr:row>
      <xdr:rowOff>0</xdr:rowOff>
    </xdr:to>
    <xdr:sp macro="" textlink="">
      <xdr:nvSpPr>
        <xdr:cNvPr id="14" name="Rectángulo redondeado 13">
          <a:hlinkClick xmlns:r="http://schemas.openxmlformats.org/officeDocument/2006/relationships" r:id="rId11"/>
        </xdr:cNvPr>
        <xdr:cNvSpPr/>
      </xdr:nvSpPr>
      <xdr:spPr>
        <a:xfrm>
          <a:off x="7715250" y="4924425"/>
          <a:ext cx="1647825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11</xdr:col>
      <xdr:colOff>428625</xdr:colOff>
      <xdr:row>18</xdr:row>
      <xdr:rowOff>161925</xdr:rowOff>
    </xdr:from>
    <xdr:to>
      <xdr:col>13</xdr:col>
      <xdr:colOff>200025</xdr:colOff>
      <xdr:row>23</xdr:row>
      <xdr:rowOff>136113</xdr:rowOff>
    </xdr:to>
    <xdr:pic>
      <xdr:nvPicPr>
        <xdr:cNvPr id="15" name="Imagen 14" descr="Resultado de imagen para flechas de flujo animada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7877175" y="3781425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4</xdr:row>
      <xdr:rowOff>0</xdr:rowOff>
    </xdr:from>
    <xdr:to>
      <xdr:col>10</xdr:col>
      <xdr:colOff>752474</xdr:colOff>
      <xdr:row>5</xdr:row>
      <xdr:rowOff>9525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</xdr:row>
      <xdr:rowOff>0</xdr:rowOff>
    </xdr:from>
    <xdr:to>
      <xdr:col>11</xdr:col>
      <xdr:colOff>0</xdr:colOff>
      <xdr:row>6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6</xdr:row>
      <xdr:rowOff>0</xdr:rowOff>
    </xdr:from>
    <xdr:to>
      <xdr:col>11</xdr:col>
      <xdr:colOff>9525</xdr:colOff>
      <xdr:row>6</xdr:row>
      <xdr:rowOff>1514475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7</xdr:row>
      <xdr:rowOff>0</xdr:rowOff>
    </xdr:from>
    <xdr:to>
      <xdr:col>11</xdr:col>
      <xdr:colOff>0</xdr:colOff>
      <xdr:row>8</xdr:row>
      <xdr:rowOff>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11</xdr:col>
      <xdr:colOff>0</xdr:colOff>
      <xdr:row>9</xdr:row>
      <xdr:rowOff>9525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9</xdr:row>
      <xdr:rowOff>0</xdr:rowOff>
    </xdr:from>
    <xdr:to>
      <xdr:col>11</xdr:col>
      <xdr:colOff>0</xdr:colOff>
      <xdr:row>9</xdr:row>
      <xdr:rowOff>1476375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11</xdr:col>
      <xdr:colOff>0</xdr:colOff>
      <xdr:row>11</xdr:row>
      <xdr:rowOff>9525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1</xdr:rowOff>
    </xdr:from>
    <xdr:to>
      <xdr:col>11</xdr:col>
      <xdr:colOff>0</xdr:colOff>
      <xdr:row>11</xdr:row>
      <xdr:rowOff>1695451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13</xdr:row>
      <xdr:rowOff>9525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13</xdr:row>
      <xdr:rowOff>1</xdr:rowOff>
    </xdr:from>
    <xdr:to>
      <xdr:col>11</xdr:col>
      <xdr:colOff>0</xdr:colOff>
      <xdr:row>13</xdr:row>
      <xdr:rowOff>1695451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14</xdr:row>
      <xdr:rowOff>1</xdr:rowOff>
    </xdr:from>
    <xdr:to>
      <xdr:col>11</xdr:col>
      <xdr:colOff>0</xdr:colOff>
      <xdr:row>15</xdr:row>
      <xdr:rowOff>9526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0</xdr:colOff>
      <xdr:row>16</xdr:row>
      <xdr:rowOff>9526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219075</xdr:colOff>
      <xdr:row>25</xdr:row>
      <xdr:rowOff>171450</xdr:rowOff>
    </xdr:from>
    <xdr:to>
      <xdr:col>8</xdr:col>
      <xdr:colOff>342900</xdr:colOff>
      <xdr:row>27</xdr:row>
      <xdr:rowOff>76200</xdr:rowOff>
    </xdr:to>
    <xdr:sp macro="" textlink="">
      <xdr:nvSpPr>
        <xdr:cNvPr id="22" name="Rectángulo redondeado 21">
          <a:hlinkClick xmlns:r="http://schemas.openxmlformats.org/officeDocument/2006/relationships" r:id="rId13"/>
        </xdr:cNvPr>
        <xdr:cNvSpPr/>
      </xdr:nvSpPr>
      <xdr:spPr>
        <a:xfrm>
          <a:off x="7667625" y="1600200"/>
          <a:ext cx="1647825" cy="3429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Portada</a:t>
          </a:r>
        </a:p>
      </xdr:txBody>
    </xdr:sp>
    <xdr:clientData/>
  </xdr:twoCellAnchor>
  <xdr:twoCellAnchor editAs="oneCell">
    <xdr:from>
      <xdr:col>6</xdr:col>
      <xdr:colOff>438150</xdr:colOff>
      <xdr:row>19</xdr:row>
      <xdr:rowOff>96969</xdr:rowOff>
    </xdr:from>
    <xdr:to>
      <xdr:col>8</xdr:col>
      <xdr:colOff>85724</xdr:colOff>
      <xdr:row>25</xdr:row>
      <xdr:rowOff>85538</xdr:rowOff>
    </xdr:to>
    <xdr:pic>
      <xdr:nvPicPr>
        <xdr:cNvPr id="25" name="Imagen 24" descr="Resultado de imagen para docs animados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81" t="5000" r="18554" b="29000"/>
        <a:stretch/>
      </xdr:blipFill>
      <xdr:spPr bwMode="auto">
        <a:xfrm>
          <a:off x="7886700" y="306519"/>
          <a:ext cx="1171574" cy="113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419100</xdr:colOff>
      <xdr:row>25</xdr:row>
      <xdr:rowOff>180975</xdr:rowOff>
    </xdr:from>
    <xdr:to>
      <xdr:col>10</xdr:col>
      <xdr:colOff>628650</xdr:colOff>
      <xdr:row>27</xdr:row>
      <xdr:rowOff>85725</xdr:rowOff>
    </xdr:to>
    <xdr:sp macro="" textlink="">
      <xdr:nvSpPr>
        <xdr:cNvPr id="26" name="Rectángulo redondeado 25">
          <a:hlinkClick xmlns:r="http://schemas.openxmlformats.org/officeDocument/2006/relationships" r:id="rId15"/>
        </xdr:cNvPr>
        <xdr:cNvSpPr/>
      </xdr:nvSpPr>
      <xdr:spPr>
        <a:xfrm>
          <a:off x="9391650" y="1609725"/>
          <a:ext cx="1733550" cy="3429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Fundamentación</a:t>
          </a:r>
        </a:p>
      </xdr:txBody>
    </xdr:sp>
    <xdr:clientData/>
  </xdr:twoCellAnchor>
  <xdr:twoCellAnchor editAs="oneCell">
    <xdr:from>
      <xdr:col>8</xdr:col>
      <xdr:colOff>1285875</xdr:colOff>
      <xdr:row>19</xdr:row>
      <xdr:rowOff>104775</xdr:rowOff>
    </xdr:from>
    <xdr:to>
      <xdr:col>10</xdr:col>
      <xdr:colOff>285750</xdr:colOff>
      <xdr:row>25</xdr:row>
      <xdr:rowOff>9525</xdr:rowOff>
    </xdr:to>
    <xdr:pic>
      <xdr:nvPicPr>
        <xdr:cNvPr id="27" name="Imagen 26" descr="Resultado de imagen para portapapeles animada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4550" y="314325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200025</xdr:colOff>
      <xdr:row>34</xdr:row>
      <xdr:rowOff>9525</xdr:rowOff>
    </xdr:from>
    <xdr:to>
      <xdr:col>8</xdr:col>
      <xdr:colOff>323850</xdr:colOff>
      <xdr:row>35</xdr:row>
      <xdr:rowOff>161925</xdr:rowOff>
    </xdr:to>
    <xdr:sp macro="" textlink="">
      <xdr:nvSpPr>
        <xdr:cNvPr id="28" name="Rectángulo redondeado 27">
          <a:hlinkClick xmlns:r="http://schemas.openxmlformats.org/officeDocument/2006/relationships" r:id="rId17"/>
        </xdr:cNvPr>
        <xdr:cNvSpPr/>
      </xdr:nvSpPr>
      <xdr:spPr>
        <a:xfrm>
          <a:off x="7648575" y="3238500"/>
          <a:ext cx="1647825" cy="3429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Datos</a:t>
          </a:r>
        </a:p>
      </xdr:txBody>
    </xdr:sp>
    <xdr:clientData/>
  </xdr:twoCellAnchor>
  <xdr:twoCellAnchor editAs="oneCell">
    <xdr:from>
      <xdr:col>6</xdr:col>
      <xdr:colOff>390525</xdr:colOff>
      <xdr:row>28</xdr:row>
      <xdr:rowOff>44866</xdr:rowOff>
    </xdr:from>
    <xdr:to>
      <xdr:col>8</xdr:col>
      <xdr:colOff>247650</xdr:colOff>
      <xdr:row>33</xdr:row>
      <xdr:rowOff>171449</xdr:rowOff>
    </xdr:to>
    <xdr:pic>
      <xdr:nvPicPr>
        <xdr:cNvPr id="29" name="Imagen 28" descr="Resultado de imagen para datos animada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05" t="16182" r="5825" b="16181"/>
        <a:stretch/>
      </xdr:blipFill>
      <xdr:spPr bwMode="auto">
        <a:xfrm>
          <a:off x="7839075" y="2111791"/>
          <a:ext cx="1381125" cy="107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504825</xdr:colOff>
      <xdr:row>33</xdr:row>
      <xdr:rowOff>95249</xdr:rowOff>
    </xdr:from>
    <xdr:to>
      <xdr:col>10</xdr:col>
      <xdr:colOff>628650</xdr:colOff>
      <xdr:row>36</xdr:row>
      <xdr:rowOff>9525</xdr:rowOff>
    </xdr:to>
    <xdr:sp macro="" textlink="">
      <xdr:nvSpPr>
        <xdr:cNvPr id="30" name="Rectángulo redondeado 29">
          <a:hlinkClick xmlns:r="http://schemas.openxmlformats.org/officeDocument/2006/relationships" r:id="rId19"/>
        </xdr:cNvPr>
        <xdr:cNvSpPr/>
      </xdr:nvSpPr>
      <xdr:spPr>
        <a:xfrm>
          <a:off x="9477375" y="3133724"/>
          <a:ext cx="1647825" cy="4953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Esta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do de Resultados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8</xdr:col>
      <xdr:colOff>666751</xdr:colOff>
      <xdr:row>29</xdr:row>
      <xdr:rowOff>76200</xdr:rowOff>
    </xdr:from>
    <xdr:to>
      <xdr:col>10</xdr:col>
      <xdr:colOff>581025</xdr:colOff>
      <xdr:row>33</xdr:row>
      <xdr:rowOff>55028</xdr:rowOff>
    </xdr:to>
    <xdr:pic>
      <xdr:nvPicPr>
        <xdr:cNvPr id="31" name="Imagen 30" descr="Resultados, tipografÃ­a animada â  Fotos de Stock">
          <a:hlinkClick xmlns:r="http://schemas.openxmlformats.org/officeDocument/2006/relationships" r:id="rId19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11" t="12933" r="9540" b="24311"/>
        <a:stretch/>
      </xdr:blipFill>
      <xdr:spPr bwMode="auto">
        <a:xfrm>
          <a:off x="9639301" y="2333625"/>
          <a:ext cx="1438274" cy="74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266700</xdr:colOff>
      <xdr:row>42</xdr:row>
      <xdr:rowOff>95250</xdr:rowOff>
    </xdr:from>
    <xdr:to>
      <xdr:col>8</xdr:col>
      <xdr:colOff>390525</xdr:colOff>
      <xdr:row>44</xdr:row>
      <xdr:rowOff>0</xdr:rowOff>
    </xdr:to>
    <xdr:sp macro="" textlink="">
      <xdr:nvSpPr>
        <xdr:cNvPr id="32" name="Rectángulo redondeado 31">
          <a:hlinkClick xmlns:r="http://schemas.openxmlformats.org/officeDocument/2006/relationships" r:id="rId21"/>
        </xdr:cNvPr>
        <xdr:cNvSpPr/>
      </xdr:nvSpPr>
      <xdr:spPr>
        <a:xfrm>
          <a:off x="7715250" y="4924425"/>
          <a:ext cx="1647825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FNE</a:t>
          </a:r>
        </a:p>
      </xdr:txBody>
    </xdr:sp>
    <xdr:clientData/>
  </xdr:twoCellAnchor>
  <xdr:twoCellAnchor editAs="oneCell">
    <xdr:from>
      <xdr:col>6</xdr:col>
      <xdr:colOff>428625</xdr:colOff>
      <xdr:row>36</xdr:row>
      <xdr:rowOff>161925</xdr:rowOff>
    </xdr:from>
    <xdr:to>
      <xdr:col>8</xdr:col>
      <xdr:colOff>200025</xdr:colOff>
      <xdr:row>42</xdr:row>
      <xdr:rowOff>12288</xdr:rowOff>
    </xdr:to>
    <xdr:pic>
      <xdr:nvPicPr>
        <xdr:cNvPr id="33" name="Imagen 32" descr="Resultado de imagen para flechas de flujo animada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1" t="7430" r="20615" b="20463"/>
        <a:stretch/>
      </xdr:blipFill>
      <xdr:spPr bwMode="auto">
        <a:xfrm>
          <a:off x="7877175" y="3781425"/>
          <a:ext cx="1295400" cy="993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714375</xdr:colOff>
      <xdr:row>41</xdr:row>
      <xdr:rowOff>190499</xdr:rowOff>
    </xdr:from>
    <xdr:to>
      <xdr:col>10</xdr:col>
      <xdr:colOff>419100</xdr:colOff>
      <xdr:row>44</xdr:row>
      <xdr:rowOff>104774</xdr:rowOff>
    </xdr:to>
    <xdr:sp macro="" textlink="">
      <xdr:nvSpPr>
        <xdr:cNvPr id="34" name="Rectángulo redondeado 33">
          <a:hlinkClick xmlns:r="http://schemas.openxmlformats.org/officeDocument/2006/relationships" r:id="rId23"/>
        </xdr:cNvPr>
        <xdr:cNvSpPr/>
      </xdr:nvSpPr>
      <xdr:spPr>
        <a:xfrm>
          <a:off x="7620000" y="25707974"/>
          <a:ext cx="1228725" cy="4857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Balance</a:t>
          </a:r>
          <a:r>
            <a:rPr lang="es-MX" sz="1200" b="1" baseline="0">
              <a:solidFill>
                <a:schemeClr val="accent1">
                  <a:lumMod val="50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General</a:t>
          </a:r>
          <a:endParaRPr lang="es-MX" sz="1200" b="1">
            <a:solidFill>
              <a:schemeClr val="accent1">
                <a:lumMod val="50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9</xdr:col>
      <xdr:colOff>209550</xdr:colOff>
      <xdr:row>37</xdr:row>
      <xdr:rowOff>17904</xdr:rowOff>
    </xdr:from>
    <xdr:to>
      <xdr:col>10</xdr:col>
      <xdr:colOff>180974</xdr:colOff>
      <xdr:row>41</xdr:row>
      <xdr:rowOff>104774</xdr:rowOff>
    </xdr:to>
    <xdr:pic>
      <xdr:nvPicPr>
        <xdr:cNvPr id="35" name="Imagen 34" descr="Resultado de imagen para balanza animada">
          <a:hlinkClick xmlns:r="http://schemas.openxmlformats.org/officeDocument/2006/relationships" r:id="rId2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7175" y="24773379"/>
          <a:ext cx="733424" cy="848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76202</xdr:rowOff>
    </xdr:from>
    <xdr:to>
      <xdr:col>0</xdr:col>
      <xdr:colOff>309563</xdr:colOff>
      <xdr:row>31</xdr:row>
      <xdr:rowOff>138055</xdr:rowOff>
    </xdr:to>
    <xdr:pic>
      <xdr:nvPicPr>
        <xdr:cNvPr id="38" name="Imagen 37" descr="Resultado de imagen para impresora animada png"/>
        <xdr:cNvPicPr>
          <a:picLocks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500" t="46477" r="37500" b="48528"/>
        <a:stretch/>
      </xdr:blipFill>
      <xdr:spPr bwMode="auto">
        <a:xfrm>
          <a:off x="0" y="23688677"/>
          <a:ext cx="309563" cy="61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23"/>
  <sheetViews>
    <sheetView showGridLines="0" workbookViewId="0"/>
  </sheetViews>
  <sheetFormatPr baseColWidth="10"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x14ac:dyDescent="0.25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ht="16.5" x14ac:dyDescent="0.3">
      <c r="A6" s="1"/>
      <c r="B6" s="1"/>
      <c r="C6" s="28" t="s">
        <v>0</v>
      </c>
      <c r="D6" s="28"/>
      <c r="E6" s="28"/>
      <c r="F6" s="28"/>
      <c r="G6" s="28"/>
      <c r="H6" s="1"/>
      <c r="I6" s="1"/>
      <c r="J6" s="1"/>
    </row>
    <row r="7" spans="1:10" x14ac:dyDescent="0.25">
      <c r="A7" s="1"/>
      <c r="B7" s="1"/>
      <c r="C7" s="1"/>
      <c r="D7" s="1"/>
      <c r="E7" s="1"/>
      <c r="F7" s="1"/>
      <c r="G7" s="1"/>
      <c r="H7" s="1"/>
      <c r="I7" s="1"/>
      <c r="J7" s="1"/>
    </row>
    <row r="8" spans="1:10" ht="16.5" x14ac:dyDescent="0.3">
      <c r="A8" s="1"/>
      <c r="B8" s="1"/>
      <c r="C8" s="28" t="s">
        <v>1</v>
      </c>
      <c r="D8" s="28"/>
      <c r="E8" s="28"/>
      <c r="F8" s="28"/>
      <c r="G8" s="28"/>
      <c r="H8" s="1"/>
      <c r="I8" s="1"/>
      <c r="J8" s="1"/>
    </row>
    <row r="9" spans="1:10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6.5" x14ac:dyDescent="0.3">
      <c r="A14" s="1"/>
      <c r="B14" s="1"/>
      <c r="C14" s="28" t="s">
        <v>2</v>
      </c>
      <c r="D14" s="28"/>
      <c r="E14" s="28"/>
      <c r="F14" s="28"/>
      <c r="G14" s="28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ht="16.5" x14ac:dyDescent="0.3">
      <c r="A16" s="1"/>
      <c r="B16" s="1"/>
      <c r="C16" s="28" t="s">
        <v>125</v>
      </c>
      <c r="D16" s="28"/>
      <c r="E16" s="28"/>
      <c r="F16" s="28"/>
      <c r="G16" s="28"/>
      <c r="H16" s="1"/>
      <c r="I16" s="1"/>
      <c r="J16" s="1"/>
    </row>
    <row r="17" spans="1:10" x14ac:dyDescent="0.25">
      <c r="A17" s="1"/>
      <c r="B17" s="1"/>
      <c r="C17" s="2"/>
      <c r="D17" s="1"/>
      <c r="E17" s="1"/>
      <c r="F17" s="1"/>
      <c r="G17" s="1"/>
      <c r="H17" s="1"/>
      <c r="I17" s="1"/>
      <c r="J17" s="1"/>
    </row>
    <row r="18" spans="1:10" ht="16.5" x14ac:dyDescent="0.3">
      <c r="A18" s="1"/>
      <c r="B18" s="1"/>
      <c r="C18" s="28" t="s">
        <v>3</v>
      </c>
      <c r="D18" s="28"/>
      <c r="E18" s="28"/>
      <c r="F18" s="28"/>
      <c r="G18" s="28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16.5" x14ac:dyDescent="0.3">
      <c r="A20" s="1"/>
      <c r="B20" s="1"/>
      <c r="C20" s="28" t="s">
        <v>4</v>
      </c>
      <c r="D20" s="28"/>
      <c r="E20" s="28"/>
      <c r="F20" s="28"/>
      <c r="G20" s="28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6.5" x14ac:dyDescent="0.3">
      <c r="A22" s="1"/>
      <c r="B22" s="1"/>
      <c r="C22" s="28" t="s">
        <v>5</v>
      </c>
      <c r="D22" s="28"/>
      <c r="E22" s="28"/>
      <c r="F22" s="28"/>
      <c r="G22" s="28"/>
      <c r="H22" s="1"/>
      <c r="I22" s="1"/>
      <c r="J22" s="1"/>
    </row>
    <row r="23" spans="1:1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</row>
  </sheetData>
  <mergeCells count="7">
    <mergeCell ref="C22:G22"/>
    <mergeCell ref="C6:G6"/>
    <mergeCell ref="C8:G8"/>
    <mergeCell ref="C14:G14"/>
    <mergeCell ref="C16:G16"/>
    <mergeCell ref="C18:G18"/>
    <mergeCell ref="C20:G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43"/>
  <sheetViews>
    <sheetView showGridLines="0" topLeftCell="A40" workbookViewId="0">
      <selection activeCell="D46" sqref="D46:F54"/>
    </sheetView>
  </sheetViews>
  <sheetFormatPr baseColWidth="10" defaultRowHeight="15" x14ac:dyDescent="0.25"/>
  <cols>
    <col min="9" max="9" width="49.7109375" customWidth="1"/>
    <col min="12" max="12" width="14.42578125" customWidth="1"/>
    <col min="13" max="13" width="24.28515625" customWidth="1"/>
  </cols>
  <sheetData>
    <row r="1" spans="1:8" ht="19.5" x14ac:dyDescent="0.25">
      <c r="A1" s="31" t="s">
        <v>6</v>
      </c>
      <c r="B1" s="31"/>
      <c r="C1" s="31"/>
      <c r="D1" s="31"/>
      <c r="E1" s="3"/>
    </row>
    <row r="4" spans="1:8" x14ac:dyDescent="0.25">
      <c r="A4" s="32" t="s">
        <v>7</v>
      </c>
      <c r="B4" s="32"/>
      <c r="C4" s="32"/>
    </row>
    <row r="5" spans="1:8" ht="15" customHeight="1" x14ac:dyDescent="0.25">
      <c r="A5" s="33" t="s">
        <v>8</v>
      </c>
      <c r="B5" s="33"/>
      <c r="C5" s="33"/>
      <c r="D5" s="33"/>
      <c r="E5" s="33"/>
      <c r="F5" s="33"/>
      <c r="G5" s="33"/>
      <c r="H5" s="33"/>
    </row>
    <row r="6" spans="1:8" x14ac:dyDescent="0.25">
      <c r="A6" s="33"/>
      <c r="B6" s="33"/>
      <c r="C6" s="33"/>
      <c r="D6" s="33"/>
      <c r="E6" s="33"/>
      <c r="F6" s="33"/>
      <c r="G6" s="33"/>
      <c r="H6" s="33"/>
    </row>
    <row r="7" spans="1:8" x14ac:dyDescent="0.25">
      <c r="A7" s="33"/>
      <c r="B7" s="33"/>
      <c r="C7" s="33"/>
      <c r="D7" s="33"/>
      <c r="E7" s="33"/>
      <c r="F7" s="33"/>
      <c r="G7" s="33"/>
      <c r="H7" s="33"/>
    </row>
    <row r="8" spans="1:8" x14ac:dyDescent="0.25">
      <c r="A8" s="33"/>
      <c r="B8" s="33"/>
      <c r="C8" s="33"/>
      <c r="D8" s="33"/>
      <c r="E8" s="33"/>
      <c r="F8" s="33"/>
      <c r="G8" s="33"/>
      <c r="H8" s="33"/>
    </row>
    <row r="9" spans="1:8" x14ac:dyDescent="0.25">
      <c r="A9" s="4"/>
      <c r="B9" s="4"/>
      <c r="C9" s="4"/>
      <c r="D9" s="4"/>
      <c r="E9" s="4"/>
      <c r="F9" s="4"/>
      <c r="G9" s="4"/>
      <c r="H9" s="4"/>
    </row>
    <row r="10" spans="1:8" x14ac:dyDescent="0.25">
      <c r="A10" s="35" t="s">
        <v>9</v>
      </c>
      <c r="B10" s="35"/>
      <c r="C10" s="35"/>
    </row>
    <row r="11" spans="1:8" ht="15" customHeight="1" x14ac:dyDescent="0.25">
      <c r="A11" s="33" t="s">
        <v>10</v>
      </c>
      <c r="B11" s="33"/>
      <c r="C11" s="33"/>
      <c r="D11" s="33"/>
      <c r="E11" s="33"/>
      <c r="F11" s="33"/>
      <c r="G11" s="33"/>
      <c r="H11" s="33"/>
    </row>
    <row r="12" spans="1:8" x14ac:dyDescent="0.25">
      <c r="A12" s="33"/>
      <c r="B12" s="33"/>
      <c r="C12" s="33"/>
      <c r="D12" s="33"/>
      <c r="E12" s="33"/>
      <c r="F12" s="33"/>
      <c r="G12" s="33"/>
      <c r="H12" s="33"/>
    </row>
    <row r="13" spans="1:8" x14ac:dyDescent="0.25">
      <c r="A13" s="33"/>
      <c r="B13" s="33"/>
      <c r="C13" s="33"/>
      <c r="D13" s="33"/>
      <c r="E13" s="33"/>
      <c r="F13" s="33"/>
      <c r="G13" s="33"/>
      <c r="H13" s="33"/>
    </row>
    <row r="14" spans="1:8" x14ac:dyDescent="0.25">
      <c r="A14" s="33"/>
      <c r="B14" s="33"/>
      <c r="C14" s="33"/>
      <c r="D14" s="33"/>
      <c r="E14" s="33"/>
      <c r="F14" s="33"/>
      <c r="G14" s="33"/>
      <c r="H14" s="33"/>
    </row>
    <row r="15" spans="1:8" x14ac:dyDescent="0.25">
      <c r="A15" s="33"/>
      <c r="B15" s="33"/>
      <c r="C15" s="33"/>
      <c r="D15" s="33"/>
      <c r="E15" s="33"/>
      <c r="F15" s="33"/>
      <c r="G15" s="33"/>
      <c r="H15" s="33"/>
    </row>
    <row r="16" spans="1:8" x14ac:dyDescent="0.25">
      <c r="A16" s="5"/>
      <c r="B16" s="5"/>
      <c r="C16" s="5"/>
      <c r="D16" s="5"/>
      <c r="E16" s="5"/>
      <c r="F16" s="5"/>
      <c r="G16" s="5"/>
      <c r="H16" s="5"/>
    </row>
    <row r="17" spans="1:13" ht="15.75" x14ac:dyDescent="0.3">
      <c r="A17" s="36" t="s">
        <v>11</v>
      </c>
      <c r="B17" s="36"/>
      <c r="C17" s="37" t="s">
        <v>12</v>
      </c>
      <c r="D17" s="37"/>
      <c r="E17" s="37"/>
      <c r="F17" s="36" t="s">
        <v>13</v>
      </c>
      <c r="G17" s="36"/>
      <c r="H17" s="36"/>
      <c r="I17" s="36"/>
      <c r="J17" s="38" t="s">
        <v>14</v>
      </c>
      <c r="K17" s="38"/>
      <c r="L17" s="38"/>
      <c r="M17" s="38"/>
    </row>
    <row r="18" spans="1:13" x14ac:dyDescent="0.25">
      <c r="A18" s="34" t="s">
        <v>19</v>
      </c>
      <c r="B18" s="34"/>
      <c r="C18" s="34" t="s">
        <v>15</v>
      </c>
      <c r="D18" s="34"/>
      <c r="E18" s="34"/>
      <c r="F18" s="34" t="s">
        <v>16</v>
      </c>
      <c r="G18" s="34"/>
      <c r="H18" s="34"/>
      <c r="I18" s="34"/>
      <c r="J18" s="30" t="s">
        <v>20</v>
      </c>
      <c r="K18" s="30"/>
      <c r="L18" s="30"/>
      <c r="M18" s="30"/>
    </row>
    <row r="19" spans="1:13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0"/>
      <c r="K19" s="30"/>
      <c r="L19" s="30"/>
      <c r="M19" s="30"/>
    </row>
    <row r="20" spans="1:13" x14ac:dyDescent="0.25">
      <c r="A20" s="34"/>
      <c r="B20" s="34"/>
      <c r="C20" s="30" t="s">
        <v>17</v>
      </c>
      <c r="D20" s="30"/>
      <c r="E20" s="30"/>
      <c r="F20" s="30" t="s">
        <v>18</v>
      </c>
      <c r="G20" s="30"/>
      <c r="H20" s="30"/>
      <c r="I20" s="30"/>
      <c r="J20" s="30" t="s">
        <v>21</v>
      </c>
      <c r="K20" s="30"/>
      <c r="L20" s="30"/>
      <c r="M20" s="30"/>
    </row>
    <row r="21" spans="1:13" x14ac:dyDescent="0.25">
      <c r="A21" s="34"/>
      <c r="B21" s="34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</row>
    <row r="22" spans="1:13" x14ac:dyDescent="0.25">
      <c r="A22" s="29" t="s">
        <v>28</v>
      </c>
      <c r="B22" s="29"/>
      <c r="C22" s="29" t="s">
        <v>22</v>
      </c>
      <c r="D22" s="29"/>
      <c r="E22" s="29"/>
      <c r="F22" s="29" t="s">
        <v>23</v>
      </c>
      <c r="G22" s="29"/>
      <c r="H22" s="29"/>
      <c r="I22" s="29"/>
      <c r="J22" s="29" t="s">
        <v>24</v>
      </c>
      <c r="K22" s="29"/>
      <c r="L22" s="29"/>
      <c r="M22" s="29"/>
    </row>
    <row r="23" spans="1:13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</row>
    <row r="24" spans="1:13" x14ac:dyDescent="0.25">
      <c r="A24" s="29"/>
      <c r="B24" s="29"/>
      <c r="C24" s="29" t="s">
        <v>25</v>
      </c>
      <c r="D24" s="29"/>
      <c r="E24" s="29"/>
      <c r="F24" s="29" t="s">
        <v>26</v>
      </c>
      <c r="G24" s="29"/>
      <c r="H24" s="29"/>
      <c r="I24" s="29"/>
      <c r="J24" s="29" t="s">
        <v>27</v>
      </c>
      <c r="K24" s="29"/>
      <c r="L24" s="29"/>
      <c r="M24" s="29"/>
    </row>
    <row r="25" spans="1:13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</row>
    <row r="26" spans="1:13" x14ac:dyDescent="0.25">
      <c r="A26" s="30" t="s">
        <v>47</v>
      </c>
      <c r="B26" s="30"/>
      <c r="C26" s="30" t="s">
        <v>29</v>
      </c>
      <c r="D26" s="30"/>
      <c r="E26" s="30"/>
      <c r="F26" s="30" t="s">
        <v>30</v>
      </c>
      <c r="G26" s="30"/>
      <c r="H26" s="30"/>
      <c r="I26" s="30"/>
      <c r="J26" s="30" t="s">
        <v>31</v>
      </c>
      <c r="K26" s="30"/>
      <c r="L26" s="30"/>
      <c r="M26" s="30"/>
    </row>
    <row r="27" spans="1:13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</row>
    <row r="28" spans="1:13" x14ac:dyDescent="0.25">
      <c r="A28" s="30"/>
      <c r="B28" s="30"/>
      <c r="C28" s="30" t="s">
        <v>32</v>
      </c>
      <c r="D28" s="30"/>
      <c r="E28" s="30"/>
      <c r="F28" s="30" t="s">
        <v>33</v>
      </c>
      <c r="G28" s="30"/>
      <c r="H28" s="30"/>
      <c r="I28" s="30"/>
      <c r="J28" s="30" t="s">
        <v>34</v>
      </c>
      <c r="K28" s="30"/>
      <c r="L28" s="30"/>
      <c r="M28" s="30"/>
    </row>
    <row r="29" spans="1:13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</row>
    <row r="30" spans="1:13" x14ac:dyDescent="0.25">
      <c r="A30" s="30"/>
      <c r="B30" s="30"/>
      <c r="C30" s="30" t="s">
        <v>35</v>
      </c>
      <c r="D30" s="30"/>
      <c r="E30" s="30"/>
      <c r="F30" s="30" t="s">
        <v>36</v>
      </c>
      <c r="G30" s="30"/>
      <c r="H30" s="30"/>
      <c r="I30" s="30"/>
      <c r="J30" s="30" t="s">
        <v>37</v>
      </c>
      <c r="K30" s="30"/>
      <c r="L30" s="30"/>
      <c r="M30" s="30"/>
    </row>
    <row r="31" spans="1:13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</row>
    <row r="32" spans="1:13" x14ac:dyDescent="0.25">
      <c r="A32" s="30"/>
      <c r="B32" s="30"/>
      <c r="C32" s="30" t="s">
        <v>38</v>
      </c>
      <c r="D32" s="30"/>
      <c r="E32" s="30"/>
      <c r="F32" s="30" t="s">
        <v>39</v>
      </c>
      <c r="G32" s="30"/>
      <c r="H32" s="30"/>
      <c r="I32" s="30"/>
      <c r="J32" s="30" t="s">
        <v>40</v>
      </c>
      <c r="K32" s="30"/>
      <c r="L32" s="30"/>
      <c r="M32" s="30"/>
    </row>
    <row r="33" spans="1:13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</row>
    <row r="34" spans="1:13" x14ac:dyDescent="0.25">
      <c r="A34" s="30"/>
      <c r="B34" s="30"/>
      <c r="C34" s="30" t="s">
        <v>41</v>
      </c>
      <c r="D34" s="30"/>
      <c r="E34" s="30"/>
      <c r="F34" s="30" t="s">
        <v>42</v>
      </c>
      <c r="G34" s="30"/>
      <c r="H34" s="30"/>
      <c r="I34" s="30"/>
      <c r="J34" s="30" t="s">
        <v>43</v>
      </c>
      <c r="K34" s="30"/>
      <c r="L34" s="30"/>
      <c r="M34" s="30"/>
    </row>
    <row r="35" spans="1:13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</row>
    <row r="36" spans="1:13" x14ac:dyDescent="0.25">
      <c r="A36" s="30"/>
      <c r="B36" s="30"/>
      <c r="C36" s="30" t="s">
        <v>44</v>
      </c>
      <c r="D36" s="30"/>
      <c r="E36" s="30"/>
      <c r="F36" s="30" t="s">
        <v>45</v>
      </c>
      <c r="G36" s="30"/>
      <c r="H36" s="30"/>
      <c r="I36" s="30"/>
      <c r="J36" s="30" t="s">
        <v>46</v>
      </c>
      <c r="K36" s="30"/>
      <c r="L36" s="30"/>
      <c r="M36" s="30"/>
    </row>
    <row r="37" spans="1:13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1:13" x14ac:dyDescent="0.25">
      <c r="A38" s="29" t="s">
        <v>57</v>
      </c>
      <c r="B38" s="29"/>
      <c r="C38" s="29" t="s">
        <v>48</v>
      </c>
      <c r="D38" s="29"/>
      <c r="E38" s="29"/>
      <c r="F38" s="29" t="s">
        <v>49</v>
      </c>
      <c r="G38" s="29"/>
      <c r="H38" s="29"/>
      <c r="I38" s="29"/>
      <c r="J38" s="29" t="s">
        <v>50</v>
      </c>
      <c r="K38" s="29"/>
      <c r="L38" s="29"/>
      <c r="M38" s="29"/>
    </row>
    <row r="39" spans="1:13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</row>
    <row r="40" spans="1:13" x14ac:dyDescent="0.25">
      <c r="A40" s="29"/>
      <c r="B40" s="29"/>
      <c r="C40" s="29" t="s">
        <v>51</v>
      </c>
      <c r="D40" s="29"/>
      <c r="E40" s="29"/>
      <c r="F40" s="29" t="s">
        <v>52</v>
      </c>
      <c r="G40" s="29"/>
      <c r="H40" s="29"/>
      <c r="I40" s="29"/>
      <c r="J40" s="29" t="s">
        <v>53</v>
      </c>
      <c r="K40" s="29"/>
      <c r="L40" s="29"/>
      <c r="M40" s="29"/>
    </row>
    <row r="41" spans="1:13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</row>
    <row r="42" spans="1:13" x14ac:dyDescent="0.25">
      <c r="A42" s="29"/>
      <c r="B42" s="29"/>
      <c r="C42" s="29" t="s">
        <v>54</v>
      </c>
      <c r="D42" s="29"/>
      <c r="E42" s="29"/>
      <c r="F42" s="29" t="s">
        <v>55</v>
      </c>
      <c r="G42" s="29"/>
      <c r="H42" s="29"/>
      <c r="I42" s="29"/>
      <c r="J42" s="29" t="s">
        <v>56</v>
      </c>
      <c r="K42" s="29"/>
      <c r="L42" s="29"/>
      <c r="M42" s="29"/>
    </row>
    <row r="43" spans="1:13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</row>
  </sheetData>
  <mergeCells count="52">
    <mergeCell ref="A1:D1"/>
    <mergeCell ref="A4:C4"/>
    <mergeCell ref="A5:H8"/>
    <mergeCell ref="A18:B21"/>
    <mergeCell ref="J18:M19"/>
    <mergeCell ref="J20:M21"/>
    <mergeCell ref="A10:C10"/>
    <mergeCell ref="A11:H15"/>
    <mergeCell ref="A17:B17"/>
    <mergeCell ref="C17:E17"/>
    <mergeCell ref="F17:I17"/>
    <mergeCell ref="J17:M17"/>
    <mergeCell ref="C18:E19"/>
    <mergeCell ref="F18:I19"/>
    <mergeCell ref="C20:E21"/>
    <mergeCell ref="F20:I21"/>
    <mergeCell ref="A22:B25"/>
    <mergeCell ref="C26:E27"/>
    <mergeCell ref="F26:I27"/>
    <mergeCell ref="J26:M27"/>
    <mergeCell ref="C28:E29"/>
    <mergeCell ref="F28:I29"/>
    <mergeCell ref="J28:M29"/>
    <mergeCell ref="A26:B37"/>
    <mergeCell ref="C22:E23"/>
    <mergeCell ref="F22:I23"/>
    <mergeCell ref="J22:M23"/>
    <mergeCell ref="C24:E25"/>
    <mergeCell ref="F24:I25"/>
    <mergeCell ref="J24:M25"/>
    <mergeCell ref="C30:E31"/>
    <mergeCell ref="F30:I31"/>
    <mergeCell ref="J30:M31"/>
    <mergeCell ref="C32:E33"/>
    <mergeCell ref="F32:I33"/>
    <mergeCell ref="J32:M33"/>
    <mergeCell ref="C34:E35"/>
    <mergeCell ref="F34:I35"/>
    <mergeCell ref="J34:M35"/>
    <mergeCell ref="C36:E37"/>
    <mergeCell ref="F36:I37"/>
    <mergeCell ref="J36:M37"/>
    <mergeCell ref="C42:E43"/>
    <mergeCell ref="F42:I43"/>
    <mergeCell ref="J42:M43"/>
    <mergeCell ref="A38:B43"/>
    <mergeCell ref="C38:E39"/>
    <mergeCell ref="F38:I39"/>
    <mergeCell ref="J38:M39"/>
    <mergeCell ref="C40:E41"/>
    <mergeCell ref="F40:I41"/>
    <mergeCell ref="J40:M41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15"/>
  <sheetViews>
    <sheetView showGridLines="0" workbookViewId="0">
      <selection activeCell="E11" sqref="E11:F11"/>
    </sheetView>
  </sheetViews>
  <sheetFormatPr baseColWidth="10" defaultRowHeight="15" x14ac:dyDescent="0.25"/>
  <sheetData>
    <row r="1" spans="1:6" ht="19.5" x14ac:dyDescent="0.25">
      <c r="A1" s="41" t="s">
        <v>58</v>
      </c>
      <c r="B1" s="41"/>
      <c r="C1" s="41"/>
    </row>
    <row r="3" spans="1:6" ht="15.75" customHeight="1" x14ac:dyDescent="0.25">
      <c r="A3" s="40" t="s">
        <v>59</v>
      </c>
      <c r="B3" s="40"/>
      <c r="C3" s="40"/>
      <c r="D3" s="40"/>
      <c r="E3" s="42">
        <v>1820000</v>
      </c>
      <c r="F3" s="42"/>
    </row>
    <row r="4" spans="1:6" ht="15.75" x14ac:dyDescent="0.25">
      <c r="A4" s="39" t="s">
        <v>60</v>
      </c>
      <c r="B4" s="39"/>
      <c r="C4" s="39"/>
      <c r="D4" s="39"/>
      <c r="E4" s="43">
        <v>1800000</v>
      </c>
      <c r="F4" s="43"/>
    </row>
    <row r="5" spans="1:6" ht="15.75" customHeight="1" x14ac:dyDescent="0.25">
      <c r="A5" s="40" t="s">
        <v>61</v>
      </c>
      <c r="B5" s="40"/>
      <c r="C5" s="40"/>
      <c r="D5" s="40"/>
      <c r="E5" s="44">
        <v>1700000</v>
      </c>
      <c r="F5" s="44"/>
    </row>
    <row r="6" spans="1:6" ht="15.75" customHeight="1" x14ac:dyDescent="0.25">
      <c r="A6" s="39" t="s">
        <v>62</v>
      </c>
      <c r="B6" s="39"/>
      <c r="C6" s="39"/>
      <c r="D6" s="39"/>
      <c r="E6" s="45">
        <v>12000</v>
      </c>
      <c r="F6" s="45"/>
    </row>
    <row r="7" spans="1:6" ht="15.75" x14ac:dyDescent="0.25">
      <c r="A7" s="40" t="s">
        <v>63</v>
      </c>
      <c r="B7" s="40"/>
      <c r="C7" s="40"/>
      <c r="D7" s="40"/>
      <c r="E7" s="44">
        <v>150</v>
      </c>
      <c r="F7" s="44"/>
    </row>
    <row r="8" spans="1:6" ht="15.75" customHeight="1" x14ac:dyDescent="0.25">
      <c r="A8" s="39" t="s">
        <v>64</v>
      </c>
      <c r="B8" s="39"/>
      <c r="C8" s="39"/>
      <c r="D8" s="39"/>
      <c r="E8" s="43">
        <v>30</v>
      </c>
      <c r="F8" s="43"/>
    </row>
    <row r="9" spans="1:6" ht="15.75" x14ac:dyDescent="0.25">
      <c r="A9" s="40" t="s">
        <v>65</v>
      </c>
      <c r="B9" s="40"/>
      <c r="C9" s="40"/>
      <c r="D9" s="40"/>
      <c r="E9" s="44">
        <v>40</v>
      </c>
      <c r="F9" s="44"/>
    </row>
    <row r="10" spans="1:6" ht="15.75" x14ac:dyDescent="0.25">
      <c r="A10" s="39" t="s">
        <v>66</v>
      </c>
      <c r="B10" s="39"/>
      <c r="C10" s="39"/>
      <c r="D10" s="39"/>
      <c r="E10" s="43">
        <v>1000000</v>
      </c>
      <c r="F10" s="43"/>
    </row>
    <row r="11" spans="1:6" ht="15.75" x14ac:dyDescent="0.25">
      <c r="A11" s="40" t="s">
        <v>67</v>
      </c>
      <c r="B11" s="40"/>
      <c r="C11" s="40"/>
      <c r="D11" s="40"/>
      <c r="E11" s="44">
        <v>100000</v>
      </c>
      <c r="F11" s="44"/>
    </row>
    <row r="12" spans="1:6" ht="15.75" x14ac:dyDescent="0.25">
      <c r="A12" s="39" t="s">
        <v>68</v>
      </c>
      <c r="B12" s="39"/>
      <c r="C12" s="39"/>
      <c r="D12" s="39"/>
      <c r="E12" s="46">
        <v>5</v>
      </c>
      <c r="F12" s="46"/>
    </row>
    <row r="13" spans="1:6" ht="15.75" x14ac:dyDescent="0.25">
      <c r="A13" s="40" t="s">
        <v>69</v>
      </c>
      <c r="B13" s="40"/>
      <c r="C13" s="40"/>
      <c r="D13" s="40"/>
      <c r="E13" s="44">
        <v>30</v>
      </c>
      <c r="F13" s="44"/>
    </row>
    <row r="14" spans="1:6" ht="15.75" x14ac:dyDescent="0.25">
      <c r="A14" s="39" t="s">
        <v>70</v>
      </c>
      <c r="B14" s="39"/>
      <c r="C14" s="39"/>
      <c r="D14" s="39"/>
      <c r="E14" s="43">
        <v>300000</v>
      </c>
      <c r="F14" s="43"/>
    </row>
    <row r="15" spans="1:6" ht="15.75" x14ac:dyDescent="0.25">
      <c r="A15" s="40" t="s">
        <v>71</v>
      </c>
      <c r="B15" s="40"/>
      <c r="C15" s="40"/>
      <c r="D15" s="40"/>
      <c r="E15" s="44">
        <v>500000</v>
      </c>
      <c r="F15" s="44"/>
    </row>
  </sheetData>
  <mergeCells count="27">
    <mergeCell ref="E14:F14"/>
    <mergeCell ref="E15:F15"/>
    <mergeCell ref="E8:F8"/>
    <mergeCell ref="E9:F9"/>
    <mergeCell ref="E10:F10"/>
    <mergeCell ref="E11:F11"/>
    <mergeCell ref="E12:F12"/>
    <mergeCell ref="E13:F13"/>
    <mergeCell ref="A11:D11"/>
    <mergeCell ref="A12:D12"/>
    <mergeCell ref="A13:D13"/>
    <mergeCell ref="A14:D14"/>
    <mergeCell ref="A15:D15"/>
    <mergeCell ref="E3:F3"/>
    <mergeCell ref="E4:F4"/>
    <mergeCell ref="E5:F5"/>
    <mergeCell ref="E6:F6"/>
    <mergeCell ref="E7:F7"/>
    <mergeCell ref="A8:D8"/>
    <mergeCell ref="A9:D9"/>
    <mergeCell ref="A10:D10"/>
    <mergeCell ref="A1:C1"/>
    <mergeCell ref="A3:D3"/>
    <mergeCell ref="A4:D4"/>
    <mergeCell ref="A5:D5"/>
    <mergeCell ref="A6:D6"/>
    <mergeCell ref="A7:D7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9"/>
  <sheetViews>
    <sheetView showGridLines="0" tabSelected="1" workbookViewId="0">
      <selection activeCell="D11" sqref="D11:E11"/>
    </sheetView>
  </sheetViews>
  <sheetFormatPr baseColWidth="10" defaultRowHeight="15" x14ac:dyDescent="0.25"/>
  <cols>
    <col min="1" max="1" width="4" customWidth="1"/>
    <col min="3" max="3" width="29.85546875" customWidth="1"/>
    <col min="5" max="5" width="15.42578125" customWidth="1"/>
  </cols>
  <sheetData>
    <row r="1" spans="1:9" ht="16.5" x14ac:dyDescent="0.3">
      <c r="A1" s="47" t="s">
        <v>72</v>
      </c>
      <c r="B1" s="47"/>
      <c r="C1" s="47"/>
      <c r="D1" s="47"/>
    </row>
    <row r="3" spans="1:9" ht="16.5" customHeight="1" x14ac:dyDescent="0.25">
      <c r="A3" s="57" t="s">
        <v>73</v>
      </c>
      <c r="B3" s="57"/>
      <c r="C3" s="57"/>
      <c r="D3" s="57"/>
      <c r="E3" s="57"/>
      <c r="F3" s="57"/>
      <c r="G3" s="57"/>
      <c r="H3" s="57"/>
      <c r="I3" s="57"/>
    </row>
    <row r="4" spans="1:9" ht="16.5" customHeight="1" x14ac:dyDescent="0.3">
      <c r="A4" s="47" t="s">
        <v>74</v>
      </c>
      <c r="B4" s="47"/>
      <c r="C4" s="47"/>
      <c r="D4" s="47"/>
      <c r="E4" s="47"/>
      <c r="F4" s="47"/>
      <c r="G4" s="47"/>
      <c r="H4" s="47"/>
      <c r="I4" s="47"/>
    </row>
    <row r="5" spans="1:9" ht="16.5" customHeight="1" x14ac:dyDescent="0.3">
      <c r="A5" s="47" t="s">
        <v>75</v>
      </c>
      <c r="B5" s="47"/>
      <c r="C5" s="47"/>
      <c r="D5" s="47"/>
      <c r="E5" s="47"/>
      <c r="F5" s="47"/>
      <c r="G5" s="47"/>
      <c r="H5" s="47"/>
      <c r="I5" s="47"/>
    </row>
    <row r="6" spans="1:9" ht="16.5" x14ac:dyDescent="0.3">
      <c r="A6" s="47"/>
      <c r="B6" s="47"/>
      <c r="C6" s="47"/>
      <c r="D6" s="48" t="s">
        <v>126</v>
      </c>
      <c r="E6" s="47"/>
      <c r="F6" s="56" t="s">
        <v>127</v>
      </c>
      <c r="G6" s="56"/>
      <c r="H6" s="48" t="s">
        <v>128</v>
      </c>
      <c r="I6" s="48"/>
    </row>
    <row r="7" spans="1:9" x14ac:dyDescent="0.25">
      <c r="A7" s="6"/>
      <c r="B7" s="49" t="s">
        <v>60</v>
      </c>
      <c r="C7" s="49"/>
      <c r="D7" s="50">
        <f>Datos!E4</f>
        <v>1800000</v>
      </c>
      <c r="E7" s="50"/>
      <c r="F7" s="50">
        <f>D7+(D7*0.04)</f>
        <v>1872000</v>
      </c>
      <c r="G7" s="50"/>
      <c r="H7" s="50">
        <f>F7+(F7*0.04)</f>
        <v>1946880</v>
      </c>
      <c r="I7" s="50"/>
    </row>
    <row r="8" spans="1:9" x14ac:dyDescent="0.25">
      <c r="A8" s="8" t="s">
        <v>76</v>
      </c>
      <c r="B8" s="55" t="s">
        <v>77</v>
      </c>
      <c r="C8" s="55"/>
      <c r="D8" s="51">
        <f>D7-(D7/1.16)</f>
        <v>248275.86206896533</v>
      </c>
      <c r="E8" s="51"/>
      <c r="F8" s="51">
        <f>F7-(F7/1.16)</f>
        <v>258206.89655172406</v>
      </c>
      <c r="G8" s="51"/>
      <c r="H8" s="51">
        <f>H7-(H7/1.16)</f>
        <v>268535.17241379293</v>
      </c>
      <c r="I8" s="51"/>
    </row>
    <row r="9" spans="1:9" x14ac:dyDescent="0.25">
      <c r="A9" s="7" t="s">
        <v>78</v>
      </c>
      <c r="B9" s="49" t="s">
        <v>79</v>
      </c>
      <c r="C9" s="49"/>
      <c r="D9" s="53">
        <f>D7-D8</f>
        <v>1551724.1379310347</v>
      </c>
      <c r="E9" s="53"/>
      <c r="F9" s="50">
        <f>F7-F8</f>
        <v>1613793.1034482759</v>
      </c>
      <c r="G9" s="50"/>
      <c r="H9" s="50">
        <f>H7-H8</f>
        <v>1678344.8275862071</v>
      </c>
      <c r="I9" s="50"/>
    </row>
    <row r="10" spans="1:9" x14ac:dyDescent="0.25">
      <c r="A10" s="9" t="s">
        <v>76</v>
      </c>
      <c r="B10" s="52" t="s">
        <v>80</v>
      </c>
      <c r="C10" s="52"/>
      <c r="D10" s="51">
        <f>Datos!E6*Datos!E8</f>
        <v>360000</v>
      </c>
      <c r="E10" s="51"/>
      <c r="F10" s="51">
        <f>D10+(D10*0.03)</f>
        <v>370800</v>
      </c>
      <c r="G10" s="51"/>
      <c r="H10" s="54">
        <f>F10+(F10*0.03)</f>
        <v>381924</v>
      </c>
      <c r="I10" s="54"/>
    </row>
    <row r="11" spans="1:9" x14ac:dyDescent="0.25">
      <c r="A11" s="6" t="s">
        <v>76</v>
      </c>
      <c r="B11" s="49" t="s">
        <v>81</v>
      </c>
      <c r="C11" s="49"/>
      <c r="D11" s="50">
        <f>((Datos!E10-Datos!E11)/Datos!E12)/12</f>
        <v>15000</v>
      </c>
      <c r="E11" s="50"/>
      <c r="F11" s="50">
        <f>(((Datos!E10-Datos!E11)/Datos!E12)/12)*2</f>
        <v>30000</v>
      </c>
      <c r="G11" s="50"/>
      <c r="H11" s="50">
        <f>(((Datos!E10-Datos!E11)/Datos!E12)/12)*3</f>
        <v>45000</v>
      </c>
      <c r="I11" s="50"/>
    </row>
    <row r="12" spans="1:9" x14ac:dyDescent="0.25">
      <c r="A12" s="9" t="s">
        <v>78</v>
      </c>
      <c r="B12" s="52" t="s">
        <v>82</v>
      </c>
      <c r="C12" s="52"/>
      <c r="D12" s="51">
        <f>D9-(D10+D11)</f>
        <v>1176724.1379310347</v>
      </c>
      <c r="E12" s="51"/>
      <c r="F12" s="51">
        <f>F9-(F10+F11)</f>
        <v>1212993.1034482759</v>
      </c>
      <c r="G12" s="51"/>
      <c r="H12" s="51">
        <f>H9-(H10+H11)</f>
        <v>1251420.8275862071</v>
      </c>
      <c r="I12" s="51"/>
    </row>
    <row r="13" spans="1:9" x14ac:dyDescent="0.25">
      <c r="A13" s="6" t="s">
        <v>76</v>
      </c>
      <c r="B13" s="49" t="s">
        <v>83</v>
      </c>
      <c r="C13" s="49"/>
      <c r="D13" s="53">
        <f>Datos!E13*Datos!E6</f>
        <v>360000</v>
      </c>
      <c r="E13" s="53"/>
      <c r="F13" s="50">
        <f>D13+(D13*0.035)</f>
        <v>372600</v>
      </c>
      <c r="G13" s="50"/>
      <c r="H13" s="50">
        <f>F13+(F13*0.035)</f>
        <v>385641</v>
      </c>
      <c r="I13" s="50"/>
    </row>
    <row r="14" spans="1:9" x14ac:dyDescent="0.25">
      <c r="A14" s="9" t="s">
        <v>76</v>
      </c>
      <c r="B14" s="52" t="s">
        <v>84</v>
      </c>
      <c r="C14" s="52"/>
      <c r="D14" s="54">
        <f>Datos!E9*Datos!E6</f>
        <v>480000</v>
      </c>
      <c r="E14" s="54"/>
      <c r="F14" s="51">
        <f>D14+(D14*0.035)</f>
        <v>496800</v>
      </c>
      <c r="G14" s="51"/>
      <c r="H14" s="51">
        <f>F14+(F14*0.035)</f>
        <v>514188</v>
      </c>
      <c r="I14" s="51"/>
    </row>
    <row r="15" spans="1:9" x14ac:dyDescent="0.25">
      <c r="A15" s="6" t="s">
        <v>78</v>
      </c>
      <c r="B15" s="49" t="s">
        <v>85</v>
      </c>
      <c r="C15" s="49"/>
      <c r="D15" s="50">
        <f>D12-(D13+D14)</f>
        <v>336724.13793103467</v>
      </c>
      <c r="E15" s="50"/>
      <c r="F15" s="50">
        <f>F12-(F13+F14)</f>
        <v>343593.10344827594</v>
      </c>
      <c r="G15" s="50"/>
      <c r="H15" s="50">
        <f>H12-(H13+H14)</f>
        <v>351591.82758620707</v>
      </c>
      <c r="I15" s="50"/>
    </row>
    <row r="16" spans="1:9" x14ac:dyDescent="0.25">
      <c r="A16" s="9" t="s">
        <v>76</v>
      </c>
      <c r="B16" s="52" t="s">
        <v>86</v>
      </c>
      <c r="C16" s="52"/>
      <c r="D16" s="51">
        <f>Datos!E15*0.02</f>
        <v>10000</v>
      </c>
      <c r="E16" s="51"/>
      <c r="F16" s="51">
        <f>IF(FNE!C22&lt;0,(FNE!C22*0.02)*(-1),0)</f>
        <v>325.8620689655142</v>
      </c>
      <c r="G16" s="51"/>
      <c r="H16" s="51">
        <f>IF(FNE!E22&lt;0,(FNE!E22*0.02)*(-1),0)</f>
        <v>0</v>
      </c>
      <c r="I16" s="51"/>
    </row>
    <row r="17" spans="1:9" x14ac:dyDescent="0.25">
      <c r="A17" s="6" t="s">
        <v>78</v>
      </c>
      <c r="B17" s="49" t="s">
        <v>87</v>
      </c>
      <c r="C17" s="49"/>
      <c r="D17" s="50">
        <f>D15-D16</f>
        <v>326724.13793103467</v>
      </c>
      <c r="E17" s="50"/>
      <c r="F17" s="50">
        <f>F15-F16</f>
        <v>343267.24137931044</v>
      </c>
      <c r="G17" s="50"/>
      <c r="H17" s="50">
        <f>H15-H16</f>
        <v>351591.82758620707</v>
      </c>
      <c r="I17" s="50"/>
    </row>
    <row r="18" spans="1:9" x14ac:dyDescent="0.25">
      <c r="A18" s="9" t="s">
        <v>76</v>
      </c>
      <c r="B18" s="52" t="s">
        <v>88</v>
      </c>
      <c r="C18" s="52"/>
      <c r="D18" s="51">
        <f>D17*0.3</f>
        <v>98017.241379310391</v>
      </c>
      <c r="E18" s="51"/>
      <c r="F18" s="51">
        <f>F17*0.3</f>
        <v>102980.17241379313</v>
      </c>
      <c r="G18" s="51"/>
      <c r="H18" s="51">
        <f>H17*0.3</f>
        <v>105477.54827586212</v>
      </c>
      <c r="I18" s="51"/>
    </row>
    <row r="19" spans="1:9" x14ac:dyDescent="0.25">
      <c r="A19" s="6" t="s">
        <v>78</v>
      </c>
      <c r="B19" s="49" t="s">
        <v>89</v>
      </c>
      <c r="C19" s="49"/>
      <c r="D19" s="50">
        <f>D17-D18</f>
        <v>228706.89655172429</v>
      </c>
      <c r="E19" s="50"/>
      <c r="F19" s="50">
        <f>F17-F18</f>
        <v>240287.0689655173</v>
      </c>
      <c r="G19" s="50"/>
      <c r="H19" s="50">
        <f>H17-H18</f>
        <v>246114.27931034495</v>
      </c>
      <c r="I19" s="50"/>
    </row>
  </sheetData>
  <mergeCells count="60">
    <mergeCell ref="H8:I8"/>
    <mergeCell ref="F9:G9"/>
    <mergeCell ref="H9:I9"/>
    <mergeCell ref="F11:G11"/>
    <mergeCell ref="H11:I11"/>
    <mergeCell ref="F10:G10"/>
    <mergeCell ref="H10:I10"/>
    <mergeCell ref="F12:G12"/>
    <mergeCell ref="H12:I12"/>
    <mergeCell ref="F13:G13"/>
    <mergeCell ref="H13:I13"/>
    <mergeCell ref="F19:G19"/>
    <mergeCell ref="H19:I19"/>
    <mergeCell ref="F14:G14"/>
    <mergeCell ref="H14:I14"/>
    <mergeCell ref="F15:G15"/>
    <mergeCell ref="H15:I15"/>
    <mergeCell ref="H16:I16"/>
    <mergeCell ref="F16:G16"/>
    <mergeCell ref="F17:G17"/>
    <mergeCell ref="H17:I17"/>
    <mergeCell ref="H18:I18"/>
    <mergeCell ref="F18:G18"/>
    <mergeCell ref="F6:G6"/>
    <mergeCell ref="H6:I6"/>
    <mergeCell ref="A3:I3"/>
    <mergeCell ref="A4:I4"/>
    <mergeCell ref="A5:I5"/>
    <mergeCell ref="H7:I7"/>
    <mergeCell ref="F7:G7"/>
    <mergeCell ref="F8:G8"/>
    <mergeCell ref="B18:C18"/>
    <mergeCell ref="B10:C10"/>
    <mergeCell ref="B11:C11"/>
    <mergeCell ref="D10:E10"/>
    <mergeCell ref="D11:E11"/>
    <mergeCell ref="B12:C12"/>
    <mergeCell ref="D12:E12"/>
    <mergeCell ref="B7:C7"/>
    <mergeCell ref="B8:C8"/>
    <mergeCell ref="B9:C9"/>
    <mergeCell ref="D7:E7"/>
    <mergeCell ref="D8:E8"/>
    <mergeCell ref="D9:E9"/>
    <mergeCell ref="A1:D1"/>
    <mergeCell ref="A6:C6"/>
    <mergeCell ref="D6:E6"/>
    <mergeCell ref="B19:C19"/>
    <mergeCell ref="D17:E17"/>
    <mergeCell ref="D18:E18"/>
    <mergeCell ref="D19:E19"/>
    <mergeCell ref="B13:C13"/>
    <mergeCell ref="B14:C14"/>
    <mergeCell ref="D13:E13"/>
    <mergeCell ref="D14:E14"/>
    <mergeCell ref="B15:C15"/>
    <mergeCell ref="D15:E15"/>
    <mergeCell ref="B16:C16"/>
    <mergeCell ref="D16:E16"/>
    <mergeCell ref="B17:C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2"/>
  <sheetViews>
    <sheetView showGridLines="0" workbookViewId="0">
      <selection activeCell="C6" sqref="C6:D6"/>
    </sheetView>
  </sheetViews>
  <sheetFormatPr baseColWidth="10" defaultRowHeight="15" x14ac:dyDescent="0.25"/>
  <cols>
    <col min="2" max="2" width="19.85546875" customWidth="1"/>
    <col min="4" max="4" width="14.5703125" customWidth="1"/>
  </cols>
  <sheetData>
    <row r="1" spans="1:8" ht="19.5" customHeight="1" x14ac:dyDescent="0.35">
      <c r="A1" s="87" t="s">
        <v>111</v>
      </c>
      <c r="B1" s="87"/>
      <c r="C1" s="87"/>
      <c r="D1" s="87"/>
      <c r="E1" s="87"/>
      <c r="F1" s="87"/>
      <c r="G1" s="87"/>
      <c r="H1" s="87"/>
    </row>
    <row r="3" spans="1:8" ht="16.5" x14ac:dyDescent="0.3">
      <c r="A3" s="82" t="s">
        <v>112</v>
      </c>
      <c r="B3" s="82"/>
      <c r="C3" s="77" t="s">
        <v>126</v>
      </c>
      <c r="D3" s="77"/>
      <c r="E3" s="79" t="s">
        <v>127</v>
      </c>
      <c r="F3" s="79"/>
      <c r="G3" s="79" t="s">
        <v>128</v>
      </c>
      <c r="H3" s="79"/>
    </row>
    <row r="4" spans="1:8" x14ac:dyDescent="0.25">
      <c r="A4" s="81" t="s">
        <v>70</v>
      </c>
      <c r="B4" s="81"/>
      <c r="C4" s="80">
        <f>Datos!E14</f>
        <v>300000</v>
      </c>
      <c r="D4" s="80"/>
      <c r="E4" s="80">
        <f>'Balance General'!D11:E11</f>
        <v>0</v>
      </c>
      <c r="F4" s="80"/>
      <c r="G4" s="80">
        <f>'Balance General'!F11</f>
        <v>210793.96551724151</v>
      </c>
      <c r="H4" s="80"/>
    </row>
    <row r="5" spans="1:8" x14ac:dyDescent="0.25">
      <c r="A5" s="81" t="s">
        <v>113</v>
      </c>
      <c r="B5" s="81"/>
      <c r="C5" s="80">
        <f>Datos!E4*0.4</f>
        <v>720000</v>
      </c>
      <c r="D5" s="80"/>
      <c r="E5" s="80">
        <f>G27</f>
        <v>748800</v>
      </c>
      <c r="F5" s="80"/>
      <c r="G5" s="80">
        <f>I27</f>
        <v>778752</v>
      </c>
      <c r="H5" s="80"/>
    </row>
    <row r="6" spans="1:8" x14ac:dyDescent="0.25">
      <c r="A6" s="81" t="s">
        <v>114</v>
      </c>
      <c r="B6" s="81"/>
      <c r="C6" s="80">
        <f>Datos!E5*0.6</f>
        <v>1020000</v>
      </c>
      <c r="D6" s="80"/>
      <c r="E6" s="80">
        <f>G29</f>
        <v>1080000</v>
      </c>
      <c r="F6" s="80"/>
      <c r="G6" s="80">
        <f>I29</f>
        <v>1123200</v>
      </c>
      <c r="H6" s="80"/>
    </row>
    <row r="7" spans="1:8" ht="15.75" x14ac:dyDescent="0.3">
      <c r="A7" s="84" t="s">
        <v>115</v>
      </c>
      <c r="B7" s="84"/>
      <c r="C7" s="51">
        <f>C4+C5+C6</f>
        <v>2040000</v>
      </c>
      <c r="D7" s="51"/>
      <c r="E7" s="51">
        <f>E4+E5+E6</f>
        <v>1828800</v>
      </c>
      <c r="F7" s="51"/>
      <c r="G7" s="54">
        <f>G4+G5+G6</f>
        <v>2112745.9655172415</v>
      </c>
      <c r="H7" s="54"/>
    </row>
    <row r="9" spans="1:8" ht="16.5" x14ac:dyDescent="0.3">
      <c r="A9" s="83" t="s">
        <v>116</v>
      </c>
      <c r="B9" s="83"/>
      <c r="C9" s="78" t="s">
        <v>126</v>
      </c>
      <c r="D9" s="78"/>
      <c r="E9" s="78" t="s">
        <v>127</v>
      </c>
      <c r="F9" s="78"/>
      <c r="G9" s="78" t="s">
        <v>128</v>
      </c>
      <c r="H9" s="78"/>
    </row>
    <row r="10" spans="1:8" x14ac:dyDescent="0.25">
      <c r="A10" s="73" t="s">
        <v>77</v>
      </c>
      <c r="B10" s="73"/>
      <c r="C10" s="76">
        <f>'Estado Resultados'!D8</f>
        <v>248275.86206896533</v>
      </c>
      <c r="D10" s="76"/>
      <c r="E10" s="76">
        <f>'Estado Resultados'!F8</f>
        <v>258206.89655172406</v>
      </c>
      <c r="F10" s="76"/>
      <c r="G10" s="76">
        <f>'Estado Resultados'!H8</f>
        <v>268535.17241379293</v>
      </c>
      <c r="H10" s="76"/>
    </row>
    <row r="11" spans="1:8" x14ac:dyDescent="0.25">
      <c r="A11" s="73" t="s">
        <v>117</v>
      </c>
      <c r="B11" s="73"/>
      <c r="C11" s="76">
        <f>Datos!E8*Datos!E6</f>
        <v>360000</v>
      </c>
      <c r="D11" s="76"/>
      <c r="E11" s="76">
        <f>'Estado Resultados'!F10</f>
        <v>370800</v>
      </c>
      <c r="F11" s="76"/>
      <c r="G11" s="76">
        <f>'Estado Resultados'!H10</f>
        <v>381924</v>
      </c>
      <c r="H11" s="76"/>
    </row>
    <row r="12" spans="1:8" x14ac:dyDescent="0.25">
      <c r="A12" s="73" t="s">
        <v>118</v>
      </c>
      <c r="B12" s="73"/>
      <c r="C12" s="76">
        <f>Datos!E6*Datos!E9</f>
        <v>480000</v>
      </c>
      <c r="D12" s="76"/>
      <c r="E12" s="76">
        <f>'Estado Resultados'!F14</f>
        <v>496800</v>
      </c>
      <c r="F12" s="76"/>
      <c r="G12" s="76">
        <f>'Estado Resultados'!H14</f>
        <v>514188</v>
      </c>
      <c r="H12" s="76"/>
    </row>
    <row r="13" spans="1:8" x14ac:dyDescent="0.25">
      <c r="A13" s="73" t="s">
        <v>119</v>
      </c>
      <c r="B13" s="73"/>
      <c r="C13" s="76">
        <f>Datos!E6*Datos!E13</f>
        <v>360000</v>
      </c>
      <c r="D13" s="76"/>
      <c r="E13" s="76">
        <f>'Estado Resultados'!F13</f>
        <v>372600</v>
      </c>
      <c r="F13" s="76"/>
      <c r="G13" s="76">
        <f>'Estado Resultados'!H13</f>
        <v>385641</v>
      </c>
      <c r="H13" s="76"/>
    </row>
    <row r="14" spans="1:8" x14ac:dyDescent="0.25">
      <c r="A14" s="73" t="s">
        <v>120</v>
      </c>
      <c r="B14" s="73"/>
      <c r="C14" s="76">
        <f>Datos!E15*0.02</f>
        <v>10000</v>
      </c>
      <c r="D14" s="76"/>
      <c r="E14" s="76">
        <f>'Estado Resultados'!F16</f>
        <v>325.8620689655142</v>
      </c>
      <c r="F14" s="76"/>
      <c r="G14" s="76">
        <f>'Estado Resultados'!H16</f>
        <v>0</v>
      </c>
      <c r="H14" s="76"/>
    </row>
    <row r="15" spans="1:8" x14ac:dyDescent="0.25">
      <c r="A15" s="73" t="s">
        <v>121</v>
      </c>
      <c r="B15" s="73"/>
      <c r="C15" s="76">
        <f>'Estado Resultados'!D18</f>
        <v>98017.241379310391</v>
      </c>
      <c r="D15" s="76"/>
      <c r="E15" s="76">
        <f>'Estado Resultados'!F18</f>
        <v>102980.17241379313</v>
      </c>
      <c r="F15" s="76"/>
      <c r="G15" s="76">
        <f>'Estado Resultados'!H18</f>
        <v>105477.54827586212</v>
      </c>
      <c r="H15" s="76"/>
    </row>
    <row r="16" spans="1:8" x14ac:dyDescent="0.25">
      <c r="A16" s="73" t="s">
        <v>122</v>
      </c>
      <c r="B16" s="73"/>
      <c r="C16" s="76">
        <f>Datos!E15</f>
        <v>500000</v>
      </c>
      <c r="D16" s="76"/>
      <c r="E16" s="76">
        <f>IF(FNE!C22&lt;0,(FNE!C22)*(-1),0)</f>
        <v>16293.10344827571</v>
      </c>
      <c r="F16" s="76"/>
      <c r="G16" s="76">
        <f>IF(FNE!E22&lt;0,(FNE!E22)*(-1),0)</f>
        <v>0</v>
      </c>
      <c r="H16" s="76"/>
    </row>
    <row r="17" spans="1:10" ht="15.75" x14ac:dyDescent="0.3">
      <c r="A17" s="74" t="s">
        <v>115</v>
      </c>
      <c r="B17" s="74"/>
      <c r="C17" s="75">
        <f>C10+C11+C12+C13+C14+C15+C16</f>
        <v>2056293.1034482757</v>
      </c>
      <c r="D17" s="75"/>
      <c r="E17" s="75">
        <f>E10+E11+E12+E13+E14+E15+E16</f>
        <v>1618006.0344827585</v>
      </c>
      <c r="F17" s="75"/>
      <c r="G17" s="75">
        <f>G10+G11+G12+G13+G14+G15+G16</f>
        <v>1655765.720689655</v>
      </c>
      <c r="H17" s="75"/>
    </row>
    <row r="19" spans="1:10" ht="15" customHeight="1" x14ac:dyDescent="0.3">
      <c r="A19" s="66" t="s">
        <v>123</v>
      </c>
      <c r="B19" s="66"/>
      <c r="C19" s="67" t="s">
        <v>126</v>
      </c>
      <c r="D19" s="67"/>
      <c r="E19" s="86" t="s">
        <v>127</v>
      </c>
      <c r="F19" s="86"/>
      <c r="G19" s="86" t="s">
        <v>128</v>
      </c>
      <c r="H19" s="86"/>
    </row>
    <row r="20" spans="1:10" x14ac:dyDescent="0.25">
      <c r="A20" s="68" t="s">
        <v>112</v>
      </c>
      <c r="B20" s="68"/>
      <c r="C20" s="69">
        <f>C7</f>
        <v>2040000</v>
      </c>
      <c r="D20" s="70"/>
      <c r="E20" s="88">
        <f>E7</f>
        <v>1828800</v>
      </c>
      <c r="F20" s="88"/>
      <c r="G20" s="88">
        <f>G7</f>
        <v>2112745.9655172415</v>
      </c>
      <c r="H20" s="88"/>
    </row>
    <row r="21" spans="1:10" x14ac:dyDescent="0.25">
      <c r="A21" s="68" t="s">
        <v>116</v>
      </c>
      <c r="B21" s="68"/>
      <c r="C21" s="69">
        <f>C17</f>
        <v>2056293.1034482757</v>
      </c>
      <c r="D21" s="70"/>
      <c r="E21" s="88">
        <f>E17</f>
        <v>1618006.0344827585</v>
      </c>
      <c r="F21" s="88"/>
      <c r="G21" s="88">
        <f>G17</f>
        <v>1655765.720689655</v>
      </c>
      <c r="H21" s="88"/>
    </row>
    <row r="22" spans="1:10" ht="15.75" x14ac:dyDescent="0.3">
      <c r="A22" s="66" t="s">
        <v>124</v>
      </c>
      <c r="B22" s="66"/>
      <c r="C22" s="71">
        <f>C20-C21</f>
        <v>-16293.10344827571</v>
      </c>
      <c r="D22" s="72"/>
      <c r="E22" s="85">
        <f>E20-E21</f>
        <v>210793.96551724151</v>
      </c>
      <c r="F22" s="85"/>
      <c r="G22" s="85">
        <f>G20-G21</f>
        <v>456980.24482758646</v>
      </c>
      <c r="H22" s="85"/>
    </row>
    <row r="24" spans="1:10" ht="18.75" customHeight="1" x14ac:dyDescent="0.25">
      <c r="A24" s="41" t="s">
        <v>129</v>
      </c>
      <c r="B24" s="41"/>
      <c r="C24" s="41"/>
      <c r="D24" s="41"/>
      <c r="E24" s="41"/>
      <c r="F24" s="41"/>
      <c r="G24" s="41"/>
      <c r="H24" s="41"/>
      <c r="I24" s="41"/>
      <c r="J24" s="41"/>
    </row>
    <row r="25" spans="1:10" x14ac:dyDescent="0.25">
      <c r="A25" s="60"/>
      <c r="B25" s="60"/>
      <c r="C25" s="64" t="s">
        <v>130</v>
      </c>
      <c r="D25" s="64"/>
      <c r="E25" s="64" t="s">
        <v>126</v>
      </c>
      <c r="F25" s="64"/>
      <c r="G25" s="64" t="s">
        <v>127</v>
      </c>
      <c r="H25" s="64"/>
      <c r="I25" s="64" t="s">
        <v>128</v>
      </c>
      <c r="J25" s="64"/>
    </row>
    <row r="26" spans="1:10" x14ac:dyDescent="0.25">
      <c r="A26" s="65" t="s">
        <v>60</v>
      </c>
      <c r="B26" s="65"/>
      <c r="C26" s="62">
        <f>Datos!E5</f>
        <v>1700000</v>
      </c>
      <c r="D26" s="62"/>
      <c r="E26" s="62">
        <f>Datos!E4</f>
        <v>1800000</v>
      </c>
      <c r="F26" s="62"/>
      <c r="G26" s="62">
        <f>'Estado Resultados'!F7</f>
        <v>1872000</v>
      </c>
      <c r="H26" s="62"/>
      <c r="I26" s="62">
        <f>'Estado Resultados'!H7</f>
        <v>1946880</v>
      </c>
      <c r="J26" s="62"/>
    </row>
    <row r="27" spans="1:10" x14ac:dyDescent="0.25">
      <c r="A27" s="29" t="s">
        <v>131</v>
      </c>
      <c r="B27" s="29"/>
      <c r="C27" s="59">
        <f>C26*0.4</f>
        <v>680000</v>
      </c>
      <c r="D27" s="59"/>
      <c r="E27" s="59">
        <f>E26*0.4</f>
        <v>720000</v>
      </c>
      <c r="F27" s="59"/>
      <c r="G27" s="59">
        <f>G26*0.4</f>
        <v>748800</v>
      </c>
      <c r="H27" s="59"/>
      <c r="I27" s="59">
        <f>I26*0.4</f>
        <v>778752</v>
      </c>
      <c r="J27" s="59"/>
    </row>
    <row r="28" spans="1:10" x14ac:dyDescent="0.25">
      <c r="A28" s="29"/>
      <c r="B28" s="29"/>
      <c r="C28" s="59"/>
      <c r="D28" s="59"/>
      <c r="E28" s="59"/>
      <c r="F28" s="59"/>
      <c r="G28" s="59"/>
      <c r="H28" s="59"/>
      <c r="I28" s="59"/>
      <c r="J28" s="59"/>
    </row>
    <row r="29" spans="1:10" x14ac:dyDescent="0.25">
      <c r="A29" s="30" t="s">
        <v>132</v>
      </c>
      <c r="B29" s="30"/>
      <c r="C29" s="63"/>
      <c r="D29" s="63"/>
      <c r="E29" s="63">
        <f>C26*0.6</f>
        <v>1020000</v>
      </c>
      <c r="F29" s="63"/>
      <c r="G29" s="63">
        <f>E26*0.6</f>
        <v>1080000</v>
      </c>
      <c r="H29" s="63"/>
      <c r="I29" s="63">
        <f>G26*0.6</f>
        <v>1123200</v>
      </c>
      <c r="J29" s="63"/>
    </row>
    <row r="30" spans="1:10" x14ac:dyDescent="0.25">
      <c r="A30" s="30"/>
      <c r="B30" s="30"/>
      <c r="C30" s="63"/>
      <c r="D30" s="63"/>
      <c r="E30" s="63"/>
      <c r="F30" s="63"/>
      <c r="G30" s="63"/>
      <c r="H30" s="63"/>
      <c r="I30" s="63"/>
      <c r="J30" s="63"/>
    </row>
    <row r="31" spans="1:10" x14ac:dyDescent="0.25">
      <c r="A31" s="61" t="s">
        <v>115</v>
      </c>
      <c r="B31" s="61"/>
      <c r="C31" s="58"/>
      <c r="D31" s="58"/>
      <c r="E31" s="58">
        <f>E27+E29</f>
        <v>1740000</v>
      </c>
      <c r="F31" s="58"/>
      <c r="G31" s="58">
        <f>G27+G29</f>
        <v>1828800</v>
      </c>
      <c r="H31" s="58"/>
      <c r="I31" s="58">
        <f>I27+I29</f>
        <v>1901952</v>
      </c>
      <c r="J31" s="58"/>
    </row>
    <row r="32" spans="1:10" x14ac:dyDescent="0.25">
      <c r="A32" s="61"/>
      <c r="B32" s="61"/>
      <c r="C32" s="58"/>
      <c r="D32" s="58"/>
      <c r="E32" s="58"/>
      <c r="F32" s="58"/>
      <c r="G32" s="58"/>
      <c r="H32" s="58"/>
      <c r="I32" s="58"/>
      <c r="J32" s="58"/>
    </row>
  </sheetData>
  <mergeCells count="99">
    <mergeCell ref="A1:H1"/>
    <mergeCell ref="E20:F20"/>
    <mergeCell ref="G20:H20"/>
    <mergeCell ref="G21:H21"/>
    <mergeCell ref="E21:F21"/>
    <mergeCell ref="E13:F13"/>
    <mergeCell ref="G13:H13"/>
    <mergeCell ref="G14:H14"/>
    <mergeCell ref="E14:F14"/>
    <mergeCell ref="E15:F15"/>
    <mergeCell ref="G15:H15"/>
    <mergeCell ref="E10:F10"/>
    <mergeCell ref="G10:H10"/>
    <mergeCell ref="E11:F11"/>
    <mergeCell ref="G11:H11"/>
    <mergeCell ref="G12:H12"/>
    <mergeCell ref="E22:F22"/>
    <mergeCell ref="G22:H22"/>
    <mergeCell ref="G16:H16"/>
    <mergeCell ref="E16:F16"/>
    <mergeCell ref="E17:F17"/>
    <mergeCell ref="G17:H17"/>
    <mergeCell ref="E19:F19"/>
    <mergeCell ref="G19:H19"/>
    <mergeCell ref="E12:F12"/>
    <mergeCell ref="E6:F6"/>
    <mergeCell ref="G6:H6"/>
    <mergeCell ref="E7:F7"/>
    <mergeCell ref="G7:H7"/>
    <mergeCell ref="E9:F9"/>
    <mergeCell ref="G9:H9"/>
    <mergeCell ref="A4:B4"/>
    <mergeCell ref="A5:B5"/>
    <mergeCell ref="A6:B6"/>
    <mergeCell ref="A3:B3"/>
    <mergeCell ref="A9:B9"/>
    <mergeCell ref="A7:B7"/>
    <mergeCell ref="C3:D3"/>
    <mergeCell ref="C9:D9"/>
    <mergeCell ref="E3:F3"/>
    <mergeCell ref="G3:H3"/>
    <mergeCell ref="E4:F4"/>
    <mergeCell ref="G4:H4"/>
    <mergeCell ref="E5:F5"/>
    <mergeCell ref="G5:H5"/>
    <mergeCell ref="C4:D4"/>
    <mergeCell ref="C5:D5"/>
    <mergeCell ref="C6:D6"/>
    <mergeCell ref="C7:D7"/>
    <mergeCell ref="C10:D10"/>
    <mergeCell ref="C11:D11"/>
    <mergeCell ref="C12:D12"/>
    <mergeCell ref="C13:D13"/>
    <mergeCell ref="C14:D14"/>
    <mergeCell ref="A10:B10"/>
    <mergeCell ref="A11:B11"/>
    <mergeCell ref="A12:B12"/>
    <mergeCell ref="A13:B13"/>
    <mergeCell ref="A14:B14"/>
    <mergeCell ref="A15:B15"/>
    <mergeCell ref="A16:B16"/>
    <mergeCell ref="A17:B17"/>
    <mergeCell ref="C17:D17"/>
    <mergeCell ref="C16:D16"/>
    <mergeCell ref="C15:D15"/>
    <mergeCell ref="A19:B19"/>
    <mergeCell ref="C19:D19"/>
    <mergeCell ref="A20:B20"/>
    <mergeCell ref="A21:B21"/>
    <mergeCell ref="A22:B22"/>
    <mergeCell ref="C20:D20"/>
    <mergeCell ref="C21:D21"/>
    <mergeCell ref="C22:D22"/>
    <mergeCell ref="A24:J24"/>
    <mergeCell ref="A27:B28"/>
    <mergeCell ref="A29:B30"/>
    <mergeCell ref="I29:J30"/>
    <mergeCell ref="I26:J26"/>
    <mergeCell ref="G27:H28"/>
    <mergeCell ref="G29:H30"/>
    <mergeCell ref="A26:B26"/>
    <mergeCell ref="C25:D25"/>
    <mergeCell ref="E25:F25"/>
    <mergeCell ref="G25:H25"/>
    <mergeCell ref="I31:J32"/>
    <mergeCell ref="I27:J28"/>
    <mergeCell ref="A25:B25"/>
    <mergeCell ref="A31:B32"/>
    <mergeCell ref="C26:D26"/>
    <mergeCell ref="E26:F26"/>
    <mergeCell ref="G26:H26"/>
    <mergeCell ref="C27:D28"/>
    <mergeCell ref="C29:D30"/>
    <mergeCell ref="C31:D32"/>
    <mergeCell ref="E31:F32"/>
    <mergeCell ref="E29:F30"/>
    <mergeCell ref="E27:F28"/>
    <mergeCell ref="I25:J25"/>
    <mergeCell ref="G31:H32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36"/>
  <sheetViews>
    <sheetView showGridLines="0" topLeftCell="A16" workbookViewId="0">
      <selection sqref="A1:D1"/>
    </sheetView>
  </sheetViews>
  <sheetFormatPr baseColWidth="10" defaultRowHeight="15" x14ac:dyDescent="0.25"/>
  <cols>
    <col min="3" max="3" width="19.85546875" customWidth="1"/>
    <col min="8" max="9" width="11.5703125" customWidth="1"/>
    <col min="10" max="10" width="0.140625" customWidth="1"/>
    <col min="11" max="11" width="15.140625" hidden="1" customWidth="1"/>
  </cols>
  <sheetData>
    <row r="1" spans="1:11" ht="16.5" x14ac:dyDescent="0.3">
      <c r="A1" s="47" t="s">
        <v>90</v>
      </c>
      <c r="B1" s="47"/>
      <c r="C1" s="47"/>
      <c r="D1" s="47"/>
    </row>
    <row r="3" spans="1:11" ht="16.5" x14ac:dyDescent="0.3">
      <c r="A3" s="48" t="s">
        <v>91</v>
      </c>
      <c r="B3" s="48"/>
      <c r="C3" s="48"/>
      <c r="D3" s="48"/>
      <c r="E3" s="48"/>
      <c r="F3" s="48"/>
      <c r="G3" s="48"/>
      <c r="H3" s="48"/>
      <c r="I3" s="48"/>
      <c r="J3" s="48"/>
      <c r="K3" s="48"/>
    </row>
    <row r="4" spans="1:11" ht="16.5" x14ac:dyDescent="0.3">
      <c r="A4" s="48" t="s">
        <v>74</v>
      </c>
      <c r="B4" s="48"/>
      <c r="C4" s="48"/>
      <c r="D4" s="48"/>
      <c r="E4" s="48"/>
      <c r="F4" s="48"/>
      <c r="G4" s="48"/>
      <c r="H4" s="48"/>
      <c r="I4" s="48"/>
      <c r="J4" s="48"/>
      <c r="K4" s="48"/>
    </row>
    <row r="5" spans="1:11" ht="16.5" x14ac:dyDescent="0.3">
      <c r="A5" s="48" t="s">
        <v>92</v>
      </c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 ht="16.5" x14ac:dyDescent="0.3">
      <c r="A6" s="48" t="s">
        <v>75</v>
      </c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</row>
    <row r="8" spans="1:11" ht="19.5" x14ac:dyDescent="0.35">
      <c r="A8" s="98" t="s">
        <v>93</v>
      </c>
      <c r="B8" s="98"/>
      <c r="C8" s="98"/>
      <c r="D8" s="96" t="s">
        <v>126</v>
      </c>
      <c r="E8" s="96"/>
      <c r="F8" s="96" t="s">
        <v>127</v>
      </c>
      <c r="G8" s="97"/>
      <c r="H8" s="96" t="s">
        <v>128</v>
      </c>
      <c r="I8" s="96"/>
      <c r="J8" s="10"/>
      <c r="K8" s="10"/>
    </row>
    <row r="9" spans="1:1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1" ht="15.75" customHeight="1" x14ac:dyDescent="0.3">
      <c r="A10" s="90" t="s">
        <v>95</v>
      </c>
      <c r="B10" s="90"/>
      <c r="C10" s="90"/>
      <c r="D10" s="90"/>
      <c r="E10" s="90"/>
      <c r="F10" s="90"/>
      <c r="G10" s="90"/>
      <c r="H10" s="90"/>
      <c r="I10" s="90"/>
      <c r="J10" s="10"/>
      <c r="K10" s="10"/>
    </row>
    <row r="11" spans="1:11" x14ac:dyDescent="0.25">
      <c r="A11" s="81" t="s">
        <v>96</v>
      </c>
      <c r="B11" s="81"/>
      <c r="C11" s="81"/>
      <c r="D11" s="80">
        <f>IF(FNE!C22&gt;0,FNE!C22,0)</f>
        <v>0</v>
      </c>
      <c r="E11" s="80"/>
      <c r="F11" s="99">
        <f>IF(FNE!E22&gt;0,FNE!E22,0)</f>
        <v>210793.96551724151</v>
      </c>
      <c r="G11" s="100"/>
      <c r="H11" s="99">
        <f>IF(FNE!G22&gt;0,FNE!G22,0)</f>
        <v>456980.24482758646</v>
      </c>
      <c r="I11" s="100"/>
      <c r="J11" s="10"/>
      <c r="K11" s="10"/>
    </row>
    <row r="12" spans="1:11" x14ac:dyDescent="0.25">
      <c r="A12" s="81" t="s">
        <v>97</v>
      </c>
      <c r="B12" s="81"/>
      <c r="C12" s="81"/>
      <c r="D12" s="80">
        <f>Datos!E4*0.6</f>
        <v>1080000</v>
      </c>
      <c r="E12" s="80"/>
      <c r="F12" s="99">
        <f>FNE!I29</f>
        <v>1123200</v>
      </c>
      <c r="G12" s="100"/>
      <c r="H12" s="99">
        <f>FNE!I26*0.6</f>
        <v>1168128</v>
      </c>
      <c r="I12" s="100"/>
      <c r="J12" s="10"/>
      <c r="K12" s="10"/>
    </row>
    <row r="13" spans="1:11" ht="15.75" x14ac:dyDescent="0.3">
      <c r="A13" s="90" t="s">
        <v>98</v>
      </c>
      <c r="B13" s="90"/>
      <c r="C13" s="90"/>
      <c r="D13" s="50">
        <f>D11+D12</f>
        <v>1080000</v>
      </c>
      <c r="E13" s="50"/>
      <c r="F13" s="101">
        <f>F11+F12</f>
        <v>1333993.9655172415</v>
      </c>
      <c r="G13" s="49"/>
      <c r="H13" s="101">
        <f>H11+H12</f>
        <v>1625108.2448275865</v>
      </c>
      <c r="I13" s="49"/>
      <c r="J13" s="10"/>
      <c r="K13" s="10"/>
    </row>
    <row r="14" spans="1:11" x14ac:dyDescent="0.25">
      <c r="A14" s="10"/>
      <c r="B14" s="10"/>
      <c r="C14" s="10"/>
      <c r="D14" s="12"/>
      <c r="E14" s="12"/>
      <c r="F14" s="13"/>
      <c r="G14" s="13"/>
      <c r="H14" s="13"/>
      <c r="I14" s="13"/>
      <c r="J14" s="10"/>
      <c r="K14" s="10"/>
    </row>
    <row r="15" spans="1:11" ht="15.75" x14ac:dyDescent="0.3">
      <c r="A15" s="89" t="s">
        <v>99</v>
      </c>
      <c r="B15" s="89"/>
      <c r="C15" s="89"/>
      <c r="D15" s="89"/>
      <c r="E15" s="89"/>
      <c r="F15" s="89"/>
      <c r="G15" s="89"/>
      <c r="H15" s="89"/>
      <c r="I15" s="89"/>
      <c r="J15" s="10"/>
      <c r="K15" s="10"/>
    </row>
    <row r="16" spans="1:11" x14ac:dyDescent="0.25">
      <c r="A16" s="94" t="s">
        <v>100</v>
      </c>
      <c r="B16" s="94"/>
      <c r="C16" s="94"/>
      <c r="D16" s="51">
        <f>Datos!E10</f>
        <v>1000000</v>
      </c>
      <c r="E16" s="51"/>
      <c r="F16" s="51">
        <f>D16-D17</f>
        <v>985000</v>
      </c>
      <c r="G16" s="51"/>
      <c r="H16" s="51">
        <f>F16-F17</f>
        <v>955000</v>
      </c>
      <c r="I16" s="51"/>
      <c r="J16" s="10"/>
      <c r="K16" s="10"/>
    </row>
    <row r="17" spans="1:11" x14ac:dyDescent="0.25">
      <c r="A17" s="94" t="s">
        <v>101</v>
      </c>
      <c r="B17" s="94"/>
      <c r="C17" s="94"/>
      <c r="D17" s="51">
        <f>'Estado Resultados'!D11:E11</f>
        <v>15000</v>
      </c>
      <c r="E17" s="51"/>
      <c r="F17" s="51">
        <f>'Estado Resultados'!F11</f>
        <v>30000</v>
      </c>
      <c r="G17" s="51"/>
      <c r="H17" s="51">
        <f>'Estado Resultados'!H11:I11</f>
        <v>45000</v>
      </c>
      <c r="I17" s="51"/>
      <c r="J17" s="10"/>
      <c r="K17" s="10"/>
    </row>
    <row r="18" spans="1:11" ht="15.75" x14ac:dyDescent="0.3">
      <c r="A18" s="90" t="s">
        <v>102</v>
      </c>
      <c r="B18" s="90"/>
      <c r="C18" s="90"/>
      <c r="D18" s="50">
        <f>D16-D17</f>
        <v>985000</v>
      </c>
      <c r="E18" s="50"/>
      <c r="F18" s="50">
        <f>F16-F17</f>
        <v>955000</v>
      </c>
      <c r="G18" s="50"/>
      <c r="H18" s="50">
        <f>H16-H17</f>
        <v>910000</v>
      </c>
      <c r="I18" s="50"/>
      <c r="J18" s="10"/>
      <c r="K18" s="10"/>
    </row>
    <row r="19" spans="1:11" x14ac:dyDescent="0.25">
      <c r="A19" s="10"/>
      <c r="B19" s="10"/>
      <c r="C19" s="10"/>
      <c r="D19" s="12"/>
      <c r="E19" s="12"/>
      <c r="F19" s="12"/>
      <c r="G19" s="12"/>
      <c r="H19" s="12"/>
      <c r="I19" s="12"/>
      <c r="J19" s="10"/>
      <c r="K19" s="10"/>
    </row>
    <row r="20" spans="1:11" x14ac:dyDescent="0.25">
      <c r="A20" s="10"/>
      <c r="B20" s="10"/>
      <c r="C20" s="10"/>
      <c r="D20" s="12"/>
      <c r="E20" s="12"/>
      <c r="F20" s="12"/>
      <c r="G20" s="12"/>
      <c r="H20" s="12"/>
      <c r="I20" s="12"/>
      <c r="J20" s="10"/>
      <c r="K20" s="10"/>
    </row>
    <row r="21" spans="1:11" ht="15.75" x14ac:dyDescent="0.3">
      <c r="A21" s="91" t="s">
        <v>103</v>
      </c>
      <c r="B21" s="91"/>
      <c r="C21" s="91"/>
      <c r="D21" s="92">
        <f>D13+D18</f>
        <v>2065000</v>
      </c>
      <c r="E21" s="92"/>
      <c r="F21" s="92">
        <f>F13+F18</f>
        <v>2288993.9655172415</v>
      </c>
      <c r="G21" s="92"/>
      <c r="H21" s="102">
        <f>H13+H18</f>
        <v>2535108.2448275862</v>
      </c>
      <c r="I21" s="102"/>
      <c r="J21" s="10"/>
      <c r="K21" s="10"/>
    </row>
    <row r="22" spans="1:11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0"/>
      <c r="K22" s="10"/>
    </row>
    <row r="23" spans="1:11" ht="19.5" customHeight="1" x14ac:dyDescent="0.35">
      <c r="A23" s="95" t="s">
        <v>94</v>
      </c>
      <c r="B23" s="95"/>
      <c r="C23" s="95"/>
      <c r="D23" s="96" t="s">
        <v>126</v>
      </c>
      <c r="E23" s="96"/>
      <c r="F23" s="96" t="s">
        <v>127</v>
      </c>
      <c r="G23" s="97"/>
      <c r="H23" s="96" t="s">
        <v>128</v>
      </c>
      <c r="I23" s="96"/>
      <c r="J23" s="10"/>
      <c r="K23" s="10"/>
    </row>
    <row r="24" spans="1:11" x14ac:dyDescent="0.25">
      <c r="A24" s="10"/>
      <c r="B24" s="10"/>
      <c r="C24" s="10"/>
      <c r="D24" s="10"/>
      <c r="E24" s="10"/>
      <c r="F24" s="11"/>
      <c r="G24" s="11"/>
      <c r="H24" s="11"/>
      <c r="I24" s="11"/>
      <c r="J24" s="10"/>
      <c r="K24" s="10"/>
    </row>
    <row r="25" spans="1:11" ht="15.75" customHeight="1" x14ac:dyDescent="0.3">
      <c r="A25" s="90" t="s">
        <v>104</v>
      </c>
      <c r="B25" s="90"/>
      <c r="C25" s="90"/>
      <c r="D25" s="90"/>
      <c r="E25" s="90"/>
      <c r="F25" s="90"/>
      <c r="G25" s="90"/>
      <c r="H25" s="90"/>
      <c r="I25" s="90"/>
      <c r="J25" s="10"/>
      <c r="K25" s="10"/>
    </row>
    <row r="26" spans="1:11" x14ac:dyDescent="0.25">
      <c r="A26" s="94" t="s">
        <v>71</v>
      </c>
      <c r="B26" s="94"/>
      <c r="C26" s="94"/>
      <c r="D26" s="51">
        <f>-IF(FNE!C22&lt;0,FNE!C22,0)</f>
        <v>16293.10344827571</v>
      </c>
      <c r="E26" s="51"/>
      <c r="F26" s="51">
        <f>IF(FNE!E22&lt;0,FNE!E22,0)</f>
        <v>0</v>
      </c>
      <c r="G26" s="51"/>
      <c r="H26" s="51">
        <f>IF(FNE!G22&lt;0,FNE!G22,0)</f>
        <v>0</v>
      </c>
      <c r="I26" s="51"/>
      <c r="J26" s="10"/>
      <c r="K26" s="10"/>
    </row>
    <row r="27" spans="1:11" ht="15.75" x14ac:dyDescent="0.3">
      <c r="A27" s="90" t="s">
        <v>105</v>
      </c>
      <c r="B27" s="90"/>
      <c r="C27" s="90"/>
      <c r="D27" s="50">
        <f>D26</f>
        <v>16293.10344827571</v>
      </c>
      <c r="E27" s="50"/>
      <c r="F27" s="50">
        <f>F26</f>
        <v>0</v>
      </c>
      <c r="G27" s="50"/>
      <c r="H27" s="50">
        <f>H26</f>
        <v>0</v>
      </c>
      <c r="I27" s="50"/>
      <c r="J27" s="10"/>
      <c r="K27" s="10"/>
    </row>
    <row r="28" spans="1:11" x14ac:dyDescent="0.25">
      <c r="A28" s="10"/>
      <c r="B28" s="10"/>
      <c r="C28" s="10"/>
      <c r="D28" s="12"/>
      <c r="E28" s="12"/>
      <c r="F28" s="12"/>
      <c r="G28" s="12"/>
      <c r="H28" s="12"/>
      <c r="I28" s="12"/>
      <c r="J28" s="10"/>
      <c r="K28" s="10"/>
    </row>
    <row r="29" spans="1:11" ht="15.75" x14ac:dyDescent="0.3">
      <c r="A29" s="91" t="s">
        <v>106</v>
      </c>
      <c r="B29" s="91"/>
      <c r="C29" s="91"/>
      <c r="D29" s="92">
        <f>D27</f>
        <v>16293.10344827571</v>
      </c>
      <c r="E29" s="92"/>
      <c r="F29" s="92">
        <f>F27</f>
        <v>0</v>
      </c>
      <c r="G29" s="92"/>
      <c r="H29" s="92">
        <f>H27</f>
        <v>0</v>
      </c>
      <c r="I29" s="92"/>
      <c r="J29" s="10"/>
      <c r="K29" s="10"/>
    </row>
    <row r="30" spans="1:11" x14ac:dyDescent="0.25">
      <c r="A30" s="10"/>
      <c r="B30" s="10"/>
      <c r="C30" s="10"/>
      <c r="D30" s="11"/>
      <c r="E30" s="11"/>
      <c r="F30" s="10"/>
      <c r="G30" s="10"/>
      <c r="H30" s="10"/>
      <c r="I30" s="10"/>
      <c r="J30" s="10"/>
      <c r="K30" s="10"/>
    </row>
    <row r="31" spans="1:11" ht="19.5" x14ac:dyDescent="0.35">
      <c r="A31" s="95" t="s">
        <v>107</v>
      </c>
      <c r="B31" s="95"/>
      <c r="C31" s="95"/>
      <c r="D31" s="93" t="s">
        <v>126</v>
      </c>
      <c r="E31" s="93"/>
      <c r="F31" s="96" t="s">
        <v>127</v>
      </c>
      <c r="G31" s="96"/>
      <c r="H31" s="96" t="s">
        <v>128</v>
      </c>
      <c r="I31" s="96"/>
      <c r="J31" s="10"/>
      <c r="K31" s="10"/>
    </row>
    <row r="32" spans="1:11" x14ac:dyDescent="0.25">
      <c r="A32" s="94" t="s">
        <v>59</v>
      </c>
      <c r="B32" s="94"/>
      <c r="C32" s="94"/>
      <c r="D32" s="51">
        <f>Datos!E3</f>
        <v>1820000</v>
      </c>
      <c r="E32" s="51"/>
      <c r="F32" s="51">
        <f>D32+'Estado Resultados'!D19</f>
        <v>2048706.8965517243</v>
      </c>
      <c r="G32" s="51"/>
      <c r="H32" s="51">
        <f>F32+F33</f>
        <v>2288993.9655172415</v>
      </c>
      <c r="I32" s="51"/>
      <c r="J32" s="10"/>
      <c r="K32" s="10"/>
    </row>
    <row r="33" spans="1:11" x14ac:dyDescent="0.25">
      <c r="A33" s="94" t="s">
        <v>108</v>
      </c>
      <c r="B33" s="94"/>
      <c r="C33" s="94"/>
      <c r="D33" s="54">
        <f>'Estado Resultados'!D19</f>
        <v>228706.89655172429</v>
      </c>
      <c r="E33" s="54"/>
      <c r="F33" s="51">
        <f>'Estado Resultados'!F19</f>
        <v>240287.0689655173</v>
      </c>
      <c r="G33" s="51"/>
      <c r="H33" s="51">
        <f>'Estado Resultados'!H19:I19</f>
        <v>246114.27931034495</v>
      </c>
      <c r="I33" s="51"/>
      <c r="J33" s="10"/>
      <c r="K33" s="10"/>
    </row>
    <row r="34" spans="1:11" ht="15.75" x14ac:dyDescent="0.3">
      <c r="A34" s="91" t="s">
        <v>109</v>
      </c>
      <c r="B34" s="91"/>
      <c r="C34" s="91"/>
      <c r="D34" s="92">
        <f>D32+D33</f>
        <v>2048706.8965517243</v>
      </c>
      <c r="E34" s="92"/>
      <c r="F34" s="102">
        <f>F32+F33</f>
        <v>2288993.9655172415</v>
      </c>
      <c r="G34" s="102"/>
      <c r="H34" s="92">
        <f>H32+H33</f>
        <v>2535108.2448275862</v>
      </c>
      <c r="I34" s="92"/>
      <c r="J34" s="10"/>
      <c r="K34" s="10"/>
    </row>
    <row r="35" spans="1:11" x14ac:dyDescent="0.25">
      <c r="A35" s="10"/>
      <c r="B35" s="10"/>
      <c r="C35" s="10"/>
      <c r="D35" s="12"/>
      <c r="E35" s="12"/>
      <c r="F35" s="12"/>
      <c r="G35" s="12"/>
      <c r="H35" s="12"/>
      <c r="I35" s="12"/>
      <c r="J35" s="10"/>
      <c r="K35" s="10"/>
    </row>
    <row r="36" spans="1:11" ht="15.75" x14ac:dyDescent="0.3">
      <c r="A36" s="91" t="s">
        <v>110</v>
      </c>
      <c r="B36" s="91"/>
      <c r="C36" s="91"/>
      <c r="D36" s="92">
        <f>D29+D34</f>
        <v>2065000</v>
      </c>
      <c r="E36" s="92"/>
      <c r="F36" s="92">
        <f>F29+F34</f>
        <v>2288993.9655172415</v>
      </c>
      <c r="G36" s="92"/>
      <c r="H36" s="92">
        <f>H34+H29</f>
        <v>2535108.2448275862</v>
      </c>
      <c r="I36" s="92"/>
      <c r="J36" s="10"/>
      <c r="K36" s="10"/>
    </row>
  </sheetData>
  <mergeCells count="76">
    <mergeCell ref="F34:G34"/>
    <mergeCell ref="F36:G36"/>
    <mergeCell ref="H36:I36"/>
    <mergeCell ref="H34:I34"/>
    <mergeCell ref="F31:G31"/>
    <mergeCell ref="H32:I32"/>
    <mergeCell ref="H33:I33"/>
    <mergeCell ref="F33:G33"/>
    <mergeCell ref="H21:I21"/>
    <mergeCell ref="H18:I18"/>
    <mergeCell ref="F18:G18"/>
    <mergeCell ref="F17:G17"/>
    <mergeCell ref="F16:G16"/>
    <mergeCell ref="H16:I16"/>
    <mergeCell ref="H17:I17"/>
    <mergeCell ref="F21:G21"/>
    <mergeCell ref="H23:I23"/>
    <mergeCell ref="H31:I31"/>
    <mergeCell ref="F32:G32"/>
    <mergeCell ref="H29:I29"/>
    <mergeCell ref="H27:I27"/>
    <mergeCell ref="H26:I26"/>
    <mergeCell ref="F29:G29"/>
    <mergeCell ref="F27:G27"/>
    <mergeCell ref="F26:G26"/>
    <mergeCell ref="A8:C8"/>
    <mergeCell ref="H8:I8"/>
    <mergeCell ref="F11:G11"/>
    <mergeCell ref="F12:G12"/>
    <mergeCell ref="F13:G13"/>
    <mergeCell ref="H13:I13"/>
    <mergeCell ref="H12:I12"/>
    <mergeCell ref="H11:I11"/>
    <mergeCell ref="A10:I10"/>
    <mergeCell ref="A1:D1"/>
    <mergeCell ref="A3:K3"/>
    <mergeCell ref="A4:K4"/>
    <mergeCell ref="A5:K5"/>
    <mergeCell ref="A6:K6"/>
    <mergeCell ref="D23:E23"/>
    <mergeCell ref="D8:E8"/>
    <mergeCell ref="F8:G8"/>
    <mergeCell ref="F23:G23"/>
    <mergeCell ref="A21:C21"/>
    <mergeCell ref="D21:E21"/>
    <mergeCell ref="D11:E11"/>
    <mergeCell ref="D12:E12"/>
    <mergeCell ref="D13:E13"/>
    <mergeCell ref="D16:E16"/>
    <mergeCell ref="D17:E17"/>
    <mergeCell ref="D18:E18"/>
    <mergeCell ref="A11:C11"/>
    <mergeCell ref="A12:C12"/>
    <mergeCell ref="A13:C13"/>
    <mergeCell ref="A16:C16"/>
    <mergeCell ref="D26:E26"/>
    <mergeCell ref="D27:E27"/>
    <mergeCell ref="A29:C29"/>
    <mergeCell ref="D29:E29"/>
    <mergeCell ref="A31:C31"/>
    <mergeCell ref="A15:I15"/>
    <mergeCell ref="A25:I25"/>
    <mergeCell ref="A36:C36"/>
    <mergeCell ref="D36:E36"/>
    <mergeCell ref="D31:E31"/>
    <mergeCell ref="A32:C32"/>
    <mergeCell ref="D32:E32"/>
    <mergeCell ref="A33:C33"/>
    <mergeCell ref="D33:E33"/>
    <mergeCell ref="A34:C34"/>
    <mergeCell ref="D34:E34"/>
    <mergeCell ref="A26:C26"/>
    <mergeCell ref="A27:C27"/>
    <mergeCell ref="A17:C17"/>
    <mergeCell ref="A18:C18"/>
    <mergeCell ref="A23:C23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54"/>
  <sheetViews>
    <sheetView showGridLines="0" topLeftCell="A7" zoomScaleNormal="100" workbookViewId="0">
      <selection activeCell="D49" sqref="A42:D49"/>
    </sheetView>
  </sheetViews>
  <sheetFormatPr baseColWidth="10" defaultRowHeight="15" x14ac:dyDescent="0.25"/>
  <cols>
    <col min="1" max="1" width="11.5703125" customWidth="1"/>
    <col min="2" max="2" width="11.42578125" customWidth="1"/>
    <col min="3" max="5" width="15.42578125" bestFit="1" customWidth="1"/>
  </cols>
  <sheetData>
    <row r="1" spans="1:11" ht="19.5" x14ac:dyDescent="0.35">
      <c r="A1" s="109" t="s">
        <v>143</v>
      </c>
      <c r="B1" s="109"/>
      <c r="C1" s="109"/>
      <c r="D1" s="109"/>
      <c r="E1" s="109"/>
      <c r="F1" s="109"/>
      <c r="G1" s="109"/>
      <c r="H1" s="109"/>
    </row>
    <row r="2" spans="1:11" x14ac:dyDescent="0.25">
      <c r="A2" s="15"/>
      <c r="B2" s="15"/>
      <c r="C2" s="15"/>
      <c r="D2" s="15"/>
      <c r="E2" s="15"/>
      <c r="F2" s="15"/>
      <c r="G2" s="15"/>
    </row>
    <row r="3" spans="1:11" x14ac:dyDescent="0.25">
      <c r="A3" s="30" t="s">
        <v>12</v>
      </c>
      <c r="B3" s="30"/>
      <c r="C3" s="30" t="s">
        <v>133</v>
      </c>
      <c r="D3" s="30"/>
      <c r="E3" s="30"/>
      <c r="F3" s="30" t="s">
        <v>134</v>
      </c>
      <c r="G3" s="30"/>
      <c r="H3" s="110" t="s">
        <v>135</v>
      </c>
      <c r="I3" s="110"/>
      <c r="J3" s="110"/>
      <c r="K3" s="110"/>
    </row>
    <row r="4" spans="1:11" x14ac:dyDescent="0.25">
      <c r="A4" s="30"/>
      <c r="B4" s="30"/>
      <c r="C4" s="14" t="s">
        <v>126</v>
      </c>
      <c r="D4" s="14" t="s">
        <v>127</v>
      </c>
      <c r="E4" s="14" t="s">
        <v>128</v>
      </c>
      <c r="F4" s="30"/>
      <c r="G4" s="30"/>
      <c r="H4" s="110"/>
      <c r="I4" s="110"/>
      <c r="J4" s="110"/>
      <c r="K4" s="110"/>
    </row>
    <row r="5" spans="1:11" ht="127.5" customHeight="1" x14ac:dyDescent="0.25">
      <c r="A5" s="29" t="s">
        <v>144</v>
      </c>
      <c r="B5" s="29"/>
      <c r="C5" s="17">
        <f>'Estado Resultados'!D7/(Datos!E4*0.6)</f>
        <v>1.6666666666666667</v>
      </c>
      <c r="D5" s="17">
        <f>'Estado Resultados'!F7/('Estado Resultados'!F7*0.6)</f>
        <v>1.6666666666666667</v>
      </c>
      <c r="E5" s="17">
        <f>'Estado Resultados'!H7/('Estado Resultados'!H7*0.6)</f>
        <v>1.6666666666666667</v>
      </c>
      <c r="F5" s="29" t="s">
        <v>141</v>
      </c>
      <c r="G5" s="29"/>
    </row>
    <row r="6" spans="1:11" ht="129.75" customHeight="1" x14ac:dyDescent="0.25">
      <c r="A6" s="30" t="s">
        <v>136</v>
      </c>
      <c r="B6" s="30"/>
      <c r="C6" s="22">
        <f>('Estado Resultados'!D7*0.6)/('Estado Resultados'!D7/360)</f>
        <v>216</v>
      </c>
      <c r="D6" s="22">
        <f>('Estado Resultados'!F7*0.6)/('Estado Resultados'!F7/360)</f>
        <v>216</v>
      </c>
      <c r="E6" s="22">
        <f>('Estado Resultados'!H7*0.6)/('Estado Resultados'!H7/360)</f>
        <v>216</v>
      </c>
      <c r="F6" s="30" t="s">
        <v>141</v>
      </c>
      <c r="G6" s="30"/>
    </row>
    <row r="7" spans="1:11" ht="120" customHeight="1" x14ac:dyDescent="0.25">
      <c r="A7" s="29" t="s">
        <v>145</v>
      </c>
      <c r="B7" s="29"/>
      <c r="C7" s="16">
        <f>'Estado Resultados'!D7/('Balance General'!D16-'Balance General'!D17)</f>
        <v>1.8274111675126903</v>
      </c>
      <c r="D7" s="16">
        <f>'Estado Resultados'!F7/('Balance General'!F16-'Balance General'!F17)</f>
        <v>1.9602094240837695</v>
      </c>
      <c r="E7" s="16">
        <f>'Estado Resultados'!H7/('Balance General'!H16-'Balance General'!H17)</f>
        <v>2.1394285714285712</v>
      </c>
      <c r="F7" s="29" t="s">
        <v>142</v>
      </c>
      <c r="G7" s="29"/>
    </row>
    <row r="8" spans="1:11" ht="117.75" customHeight="1" x14ac:dyDescent="0.25">
      <c r="A8" s="30" t="s">
        <v>146</v>
      </c>
      <c r="B8" s="30"/>
      <c r="C8" s="23">
        <v>0.87160000000000004</v>
      </c>
      <c r="D8" s="24">
        <v>0.128</v>
      </c>
      <c r="E8" s="24">
        <v>0.126</v>
      </c>
      <c r="F8" s="30" t="s">
        <v>141</v>
      </c>
      <c r="G8" s="30"/>
    </row>
    <row r="9" spans="1:11" ht="117" customHeight="1" x14ac:dyDescent="0.25">
      <c r="A9" s="29" t="s">
        <v>137</v>
      </c>
      <c r="B9" s="29"/>
      <c r="C9" s="18">
        <f>'Estado Resultados'!D19/'Estado Resultados'!D7</f>
        <v>0.12705938697318017</v>
      </c>
      <c r="D9" s="18">
        <f>(Datos!E4+(Datos!E4*0.03))/'Estado Resultados'!F7</f>
        <v>0.99038461538461542</v>
      </c>
      <c r="E9" s="19">
        <f>(Datos!E4+(Datos!E4*0.06))/'Estado Resultados'!H7</f>
        <v>0.9800295857988166</v>
      </c>
      <c r="F9" s="29" t="s">
        <v>147</v>
      </c>
      <c r="G9" s="29"/>
    </row>
    <row r="10" spans="1:11" ht="117" customHeight="1" x14ac:dyDescent="0.25">
      <c r="A10" s="30" t="s">
        <v>138</v>
      </c>
      <c r="B10" s="30"/>
      <c r="C10" s="24">
        <f>'Estado Resultados'!D19/Datos!E3</f>
        <v>0.1256631299734749</v>
      </c>
      <c r="D10" s="23">
        <v>0.1172</v>
      </c>
      <c r="E10" s="25">
        <v>0.105</v>
      </c>
      <c r="F10" s="30" t="s">
        <v>141</v>
      </c>
      <c r="G10" s="30"/>
    </row>
    <row r="11" spans="1:11" ht="118.5" customHeight="1" x14ac:dyDescent="0.25">
      <c r="A11" s="29" t="s">
        <v>148</v>
      </c>
      <c r="B11" s="29"/>
      <c r="C11" s="20">
        <v>7.8899999999999994E-3</v>
      </c>
      <c r="D11" s="20">
        <v>0</v>
      </c>
      <c r="E11" s="20">
        <v>0</v>
      </c>
      <c r="F11" s="29" t="s">
        <v>142</v>
      </c>
      <c r="G11" s="29"/>
    </row>
    <row r="12" spans="1:11" ht="134.25" customHeight="1" x14ac:dyDescent="0.25">
      <c r="A12" s="30" t="s">
        <v>139</v>
      </c>
      <c r="B12" s="30"/>
      <c r="C12" s="26">
        <v>9.0500000000000008E-3</v>
      </c>
      <c r="D12" s="23">
        <v>0.11260000000000001</v>
      </c>
      <c r="E12" s="25">
        <v>0.1996</v>
      </c>
      <c r="F12" s="30" t="s">
        <v>147</v>
      </c>
      <c r="G12" s="30"/>
    </row>
    <row r="13" spans="1:11" ht="135" customHeight="1" x14ac:dyDescent="0.25">
      <c r="A13" s="29" t="s">
        <v>149</v>
      </c>
      <c r="B13" s="29"/>
      <c r="C13" s="18">
        <v>1.1346000000000001</v>
      </c>
      <c r="D13" s="21">
        <v>1.1172</v>
      </c>
      <c r="E13" s="20">
        <v>1.1074999999999999</v>
      </c>
      <c r="F13" s="29" t="s">
        <v>141</v>
      </c>
      <c r="G13" s="29"/>
    </row>
    <row r="14" spans="1:11" ht="134.25" customHeight="1" x14ac:dyDescent="0.25">
      <c r="A14" s="30" t="s">
        <v>150</v>
      </c>
      <c r="B14" s="30"/>
      <c r="C14" s="22">
        <v>33.67</v>
      </c>
      <c r="D14" s="23">
        <v>1143.43</v>
      </c>
      <c r="E14" s="25" t="s">
        <v>76</v>
      </c>
      <c r="F14" s="30" t="s">
        <v>142</v>
      </c>
      <c r="G14" s="30"/>
    </row>
    <row r="15" spans="1:11" ht="152.25" customHeight="1" x14ac:dyDescent="0.25">
      <c r="A15" s="29" t="s">
        <v>151</v>
      </c>
      <c r="B15" s="29"/>
      <c r="C15" s="20">
        <v>0.88100000000000001</v>
      </c>
      <c r="D15" s="17">
        <v>0.89500000000000002</v>
      </c>
      <c r="E15" s="20">
        <v>0.90200000000000002</v>
      </c>
      <c r="F15" s="29" t="s">
        <v>141</v>
      </c>
      <c r="G15" s="29"/>
    </row>
    <row r="16" spans="1:11" ht="166.5" customHeight="1" x14ac:dyDescent="0.25">
      <c r="A16" s="30" t="s">
        <v>140</v>
      </c>
      <c r="B16" s="30"/>
      <c r="C16" s="25">
        <v>0.11</v>
      </c>
      <c r="D16" s="23">
        <v>0.10489999999999999</v>
      </c>
      <c r="E16" s="25">
        <v>9.7000000000000003E-2</v>
      </c>
      <c r="F16" s="30" t="s">
        <v>141</v>
      </c>
      <c r="G16" s="30"/>
    </row>
    <row r="19" spans="1:6" x14ac:dyDescent="0.25">
      <c r="A19" s="73" t="s">
        <v>152</v>
      </c>
      <c r="B19" s="73"/>
      <c r="C19" s="73"/>
      <c r="D19" s="106" t="s">
        <v>153</v>
      </c>
      <c r="E19" s="106"/>
      <c r="F19" s="106"/>
    </row>
    <row r="20" spans="1:6" ht="15" customHeight="1" x14ac:dyDescent="0.25">
      <c r="A20" s="105" t="s">
        <v>154</v>
      </c>
      <c r="B20" s="105"/>
      <c r="C20" s="105"/>
      <c r="D20" s="107" t="s">
        <v>155</v>
      </c>
      <c r="E20" s="107"/>
      <c r="F20" s="107"/>
    </row>
    <row r="21" spans="1:6" x14ac:dyDescent="0.25">
      <c r="A21" s="105"/>
      <c r="B21" s="105"/>
      <c r="C21" s="105"/>
      <c r="D21" s="107"/>
      <c r="E21" s="107"/>
      <c r="F21" s="107"/>
    </row>
    <row r="22" spans="1:6" x14ac:dyDescent="0.25">
      <c r="A22" s="105"/>
      <c r="B22" s="105"/>
      <c r="C22" s="105"/>
      <c r="D22" s="107"/>
      <c r="E22" s="107"/>
      <c r="F22" s="107"/>
    </row>
    <row r="23" spans="1:6" x14ac:dyDescent="0.25">
      <c r="A23" s="105"/>
      <c r="B23" s="105"/>
      <c r="C23" s="105"/>
      <c r="D23" s="107"/>
      <c r="E23" s="107"/>
      <c r="F23" s="107"/>
    </row>
    <row r="24" spans="1:6" ht="15" customHeight="1" x14ac:dyDescent="0.25">
      <c r="A24" s="105"/>
      <c r="B24" s="105"/>
      <c r="C24" s="105"/>
      <c r="D24" s="107"/>
      <c r="E24" s="107"/>
      <c r="F24" s="107"/>
    </row>
    <row r="25" spans="1:6" x14ac:dyDescent="0.25">
      <c r="A25" s="105"/>
      <c r="B25" s="105"/>
      <c r="C25" s="105"/>
      <c r="D25" s="107"/>
      <c r="E25" s="107"/>
      <c r="F25" s="107"/>
    </row>
    <row r="26" spans="1:6" x14ac:dyDescent="0.25">
      <c r="A26" s="105"/>
      <c r="B26" s="105"/>
      <c r="C26" s="105"/>
      <c r="D26" s="107"/>
      <c r="E26" s="107"/>
      <c r="F26" s="107"/>
    </row>
    <row r="27" spans="1:6" x14ac:dyDescent="0.25">
      <c r="A27" s="105"/>
      <c r="B27" s="105"/>
      <c r="C27" s="105"/>
      <c r="D27" s="107"/>
      <c r="E27" s="107"/>
      <c r="F27" s="107"/>
    </row>
    <row r="28" spans="1:6" x14ac:dyDescent="0.25">
      <c r="A28" s="105"/>
      <c r="B28" s="105"/>
      <c r="C28" s="105"/>
      <c r="D28" s="107"/>
      <c r="E28" s="107"/>
      <c r="F28" s="107"/>
    </row>
    <row r="29" spans="1:6" x14ac:dyDescent="0.25">
      <c r="A29" s="105"/>
      <c r="B29" s="105"/>
      <c r="C29" s="105"/>
      <c r="D29" s="107"/>
      <c r="E29" s="107"/>
      <c r="F29" s="107"/>
    </row>
    <row r="31" spans="1:6" x14ac:dyDescent="0.25">
      <c r="A31" s="108" t="s">
        <v>156</v>
      </c>
      <c r="B31" s="108"/>
      <c r="C31" s="108"/>
      <c r="D31" s="108"/>
      <c r="E31" s="108"/>
      <c r="F31" s="108"/>
    </row>
    <row r="32" spans="1:6" x14ac:dyDescent="0.25">
      <c r="A32" s="103" t="s">
        <v>157</v>
      </c>
      <c r="B32" s="104"/>
      <c r="C32" s="104"/>
      <c r="D32" s="104"/>
      <c r="E32" s="104"/>
      <c r="F32" s="104"/>
    </row>
    <row r="33" spans="1:6" x14ac:dyDescent="0.25">
      <c r="A33" s="104"/>
      <c r="B33" s="104"/>
      <c r="C33" s="104"/>
      <c r="D33" s="104"/>
      <c r="E33" s="104"/>
      <c r="F33" s="104"/>
    </row>
    <row r="34" spans="1:6" x14ac:dyDescent="0.25">
      <c r="A34" s="104"/>
      <c r="B34" s="104"/>
      <c r="C34" s="104"/>
      <c r="D34" s="104"/>
      <c r="E34" s="104"/>
      <c r="F34" s="104"/>
    </row>
    <row r="35" spans="1:6" x14ac:dyDescent="0.25">
      <c r="A35" s="104"/>
      <c r="B35" s="104"/>
      <c r="C35" s="104"/>
      <c r="D35" s="104"/>
      <c r="E35" s="104"/>
      <c r="F35" s="104"/>
    </row>
    <row r="36" spans="1:6" x14ac:dyDescent="0.25">
      <c r="A36" s="104"/>
      <c r="B36" s="104"/>
      <c r="C36" s="104"/>
      <c r="D36" s="104"/>
      <c r="E36" s="104"/>
      <c r="F36" s="104"/>
    </row>
    <row r="37" spans="1:6" x14ac:dyDescent="0.25">
      <c r="A37" s="104"/>
      <c r="B37" s="104"/>
      <c r="C37" s="104"/>
      <c r="D37" s="104"/>
      <c r="E37" s="104"/>
      <c r="F37" s="104"/>
    </row>
    <row r="38" spans="1:6" x14ac:dyDescent="0.25">
      <c r="A38" s="104"/>
      <c r="B38" s="104"/>
      <c r="C38" s="104"/>
      <c r="D38" s="104"/>
      <c r="E38" s="104"/>
      <c r="F38" s="104"/>
    </row>
    <row r="43" spans="1:6" x14ac:dyDescent="0.25">
      <c r="B43" s="27"/>
    </row>
    <row r="54" spans="4:4" x14ac:dyDescent="0.25">
      <c r="D54" s="27"/>
    </row>
  </sheetData>
  <mergeCells count="35">
    <mergeCell ref="A1:H1"/>
    <mergeCell ref="A3:B4"/>
    <mergeCell ref="C3:E3"/>
    <mergeCell ref="F3:G4"/>
    <mergeCell ref="H3:K4"/>
    <mergeCell ref="A5:B5"/>
    <mergeCell ref="F5:G5"/>
    <mergeCell ref="A9:B9"/>
    <mergeCell ref="F9:G9"/>
    <mergeCell ref="A10:B10"/>
    <mergeCell ref="F10:G10"/>
    <mergeCell ref="A6:B6"/>
    <mergeCell ref="F6:G6"/>
    <mergeCell ref="A7:B7"/>
    <mergeCell ref="F7:G7"/>
    <mergeCell ref="A8:B8"/>
    <mergeCell ref="F8:G8"/>
    <mergeCell ref="A11:B11"/>
    <mergeCell ref="F11:G11"/>
    <mergeCell ref="A12:B12"/>
    <mergeCell ref="F12:G12"/>
    <mergeCell ref="A13:B13"/>
    <mergeCell ref="F13:G13"/>
    <mergeCell ref="A14:B14"/>
    <mergeCell ref="F14:G14"/>
    <mergeCell ref="A15:B15"/>
    <mergeCell ref="F15:G15"/>
    <mergeCell ref="A16:B16"/>
    <mergeCell ref="F16:G16"/>
    <mergeCell ref="A32:F38"/>
    <mergeCell ref="A19:C19"/>
    <mergeCell ref="A20:C29"/>
    <mergeCell ref="D19:F19"/>
    <mergeCell ref="D20:F29"/>
    <mergeCell ref="A31:F3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Portada</vt:lpstr>
      <vt:lpstr>Fundamentacion</vt:lpstr>
      <vt:lpstr>Datos</vt:lpstr>
      <vt:lpstr>Estado Resultados</vt:lpstr>
      <vt:lpstr>FNE</vt:lpstr>
      <vt:lpstr>Balance General</vt:lpstr>
      <vt:lpstr>Razones Financieras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cp:lastPrinted>2019-03-27T14:15:28Z</cp:lastPrinted>
  <dcterms:created xsi:type="dcterms:W3CDTF">2019-03-24T20:30:05Z</dcterms:created>
  <dcterms:modified xsi:type="dcterms:W3CDTF">2019-04-16T21:38:35Z</dcterms:modified>
</cp:coreProperties>
</file>